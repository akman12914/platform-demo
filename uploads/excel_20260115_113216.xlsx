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:\내 드라이브\성일플랫폼통합\견적서 생성 파일과 관련 DB\카톡전달파일\"/>
    </mc:Choice>
  </mc:AlternateContent>
  <xr:revisionPtr revIDLastSave="0" documentId="13_ncr:1_{0BCF65EF-B3A6-4F1E-8E5B-B9830F363724}" xr6:coauthVersionLast="47" xr6:coauthVersionMax="47" xr10:uidLastSave="{00000000-0000-0000-0000-000000000000}"/>
  <bookViews>
    <workbookView xWindow="13170" yWindow="2450" windowWidth="11420" windowHeight="14400" activeTab="4" xr2:uid="{00000000-000D-0000-FFFF-FFFF00000000}"/>
  </bookViews>
  <sheets>
    <sheet name="바닥판" sheetId="1" r:id="rId1"/>
    <sheet name="바닥판단가" sheetId="2" r:id="rId2"/>
    <sheet name="천장판" sheetId="3" r:id="rId3"/>
    <sheet name="천장판타공" sheetId="10" r:id="rId4"/>
    <sheet name="자재단가내역" sheetId="11" r:id="rId5"/>
    <sheet name="벽판" sheetId="4" r:id="rId6"/>
    <sheet name="PVE" sheetId="9" r:id="rId7"/>
    <sheet name="접착제" sheetId="14" r:id="rId8"/>
    <sheet name="데이터 설명" sheetId="8" r:id="rId9"/>
  </sheets>
  <definedNames>
    <definedName name="_01">#REF!</definedName>
    <definedName name="_02">#REF!</definedName>
    <definedName name="_03">#REF!</definedName>
    <definedName name="_04">#REF!</definedName>
    <definedName name="_05">#REF!</definedName>
    <definedName name="_06">#REF!</definedName>
    <definedName name="_10">#REF!</definedName>
    <definedName name="_2">#N/A</definedName>
    <definedName name="_3">#N/A</definedName>
    <definedName name="_apt001">#REF!</definedName>
    <definedName name="_apt002">#REF!</definedName>
    <definedName name="_apt003">#REF!</definedName>
    <definedName name="_apt1">#REF!</definedName>
    <definedName name="_APT101">#REF!</definedName>
    <definedName name="_APT102">#REF!</definedName>
    <definedName name="_APT103">#REF!</definedName>
    <definedName name="_APT104">#REF!</definedName>
    <definedName name="_APT105">#REF!</definedName>
    <definedName name="_APT106">#REF!</definedName>
    <definedName name="_APT107">#REF!</definedName>
    <definedName name="_APT108">#REF!</definedName>
    <definedName name="_APT109">#REF!</definedName>
    <definedName name="_APT110">#REF!</definedName>
    <definedName name="_apt111">#REF!</definedName>
    <definedName name="_apt112">#REF!</definedName>
    <definedName name="_apt113">#REF!</definedName>
    <definedName name="_apt201">#REF!</definedName>
    <definedName name="_apt202">#REF!</definedName>
    <definedName name="_apt203">#REF!</definedName>
    <definedName name="_apt301">#REF!</definedName>
    <definedName name="_apt302">#REF!</definedName>
    <definedName name="_apt303">#REF!</definedName>
    <definedName name="_apt401">#REF!</definedName>
    <definedName name="_apt402">#REF!</definedName>
    <definedName name="_apt403">#REF!</definedName>
    <definedName name="_apt404">#REF!</definedName>
    <definedName name="_apt405">#REF!</definedName>
    <definedName name="_apt406">#REF!</definedName>
    <definedName name="_apt407">#REF!</definedName>
    <definedName name="_APT501">#REF!</definedName>
    <definedName name="_APT502">#REF!</definedName>
    <definedName name="_APT503">#REF!</definedName>
    <definedName name="_APT504">#REF!</definedName>
    <definedName name="_APT505">#REF!</definedName>
    <definedName name="_APT506">#REF!</definedName>
    <definedName name="_APT507">#REF!</definedName>
    <definedName name="_APT508">#REF!</definedName>
    <definedName name="_APT509">#REF!</definedName>
    <definedName name="_APT510">#REF!</definedName>
    <definedName name="_bok1">#REF!</definedName>
    <definedName name="_bok2">#REF!</definedName>
    <definedName name="_Dist_Bin" hidden="1">#REF!</definedName>
    <definedName name="_Dist_Values" hidden="1">#REF!</definedName>
    <definedName name="_Fill" hidden="1">#REF!</definedName>
    <definedName name="_xlnm._FilterDatabase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R01">#REF!</definedName>
    <definedName name="_PRT2">#REF!</definedName>
    <definedName name="_PRT3">#REF!</definedName>
    <definedName name="_Sort" hidden="1">#REF!</definedName>
    <definedName name="\0">#REF!</definedName>
    <definedName name="\111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k">#REF!</definedName>
    <definedName name="\p">#REF!</definedName>
    <definedName name="\q">#REF!</definedName>
    <definedName name="\s">#REF!</definedName>
    <definedName name="\t">#REF!</definedName>
    <definedName name="\u">#REF!</definedName>
    <definedName name="\x">#REF!</definedName>
    <definedName name="\z">#REF!</definedName>
    <definedName name="a">#REF!</definedName>
    <definedName name="A1..A2_">#N/A</definedName>
    <definedName name="A1..A200_">#N/A</definedName>
    <definedName name="A12..A13_">#N/A</definedName>
    <definedName name="AA">#REF!</definedName>
    <definedName name="aaa">#REF!</definedName>
    <definedName name="aaaa">#REF!</definedName>
    <definedName name="ABC">#REF!</definedName>
    <definedName name="agga">#REF!</definedName>
    <definedName name="aghjteder">#REF!</definedName>
    <definedName name="akkjga">#REF!</definedName>
    <definedName name="amount">#REF!</definedName>
    <definedName name="apt">#REF!</definedName>
    <definedName name="asrya">#REF!</definedName>
    <definedName name="AV">#REF!</definedName>
    <definedName name="b">#REF!</definedName>
    <definedName name="bareta">#REF!</definedName>
    <definedName name="BB">#REF!</definedName>
    <definedName name="bdrth">#REF!</definedName>
    <definedName name="bgdtr">#REF!</definedName>
    <definedName name="bok">#REF!</definedName>
    <definedName name="bsdrf">#REF!</definedName>
    <definedName name="BSERTG">#REF!</definedName>
    <definedName name="BTYPE">#N/A</definedName>
    <definedName name="BUNHO">#N/A</definedName>
    <definedName name="BVSERG">#REF!</definedName>
    <definedName name="c_1">#REF!</definedName>
    <definedName name="c_2">#REF!</definedName>
    <definedName name="CIVIL2">#REF!</definedName>
    <definedName name="CJFRHD">#REF!</definedName>
    <definedName name="co">#REF!</definedName>
    <definedName name="code">#REF!</definedName>
    <definedName name="Criteria_MI">#REF!</definedName>
    <definedName name="D">#REF!</definedName>
    <definedName name="DAN">#REF!</definedName>
    <definedName name="danga">#REF!</definedName>
    <definedName name="danga0">#REF!</definedName>
    <definedName name="danga1">#REF!</definedName>
    <definedName name="danga10">#REF!</definedName>
    <definedName name="DANGA100">#REF!</definedName>
    <definedName name="DANGA1000">#REF!</definedName>
    <definedName name="DANGA2">#REF!</definedName>
    <definedName name="DANGA3">#REF!</definedName>
    <definedName name="danga4">#REF!</definedName>
    <definedName name="danga5">#REF!</definedName>
    <definedName name="DANGA6">#REF!</definedName>
    <definedName name="dangga">#REF!</definedName>
    <definedName name="DANWI">#N/A</definedName>
    <definedName name="data">#REF!</definedName>
    <definedName name="datab">#REF!</definedName>
    <definedName name="_xlnm.Database">#REF!</definedName>
    <definedName name="Database_MI">#REF!</definedName>
    <definedName name="Database1">#REF!</definedName>
    <definedName name="DBDD">#REF!</definedName>
    <definedName name="DCS">#REF!</definedName>
    <definedName name="ddd">#REF!</definedName>
    <definedName name="dddsssss">#REF!</definedName>
    <definedName name="dfaeyg">#REF!</definedName>
    <definedName name="dfdf">#REF!</definedName>
    <definedName name="dgew">#REF!</definedName>
    <definedName name="dgwes">#REF!</definedName>
    <definedName name="dgzde">#REF!</definedName>
    <definedName name="dher">#REF!</definedName>
    <definedName name="dhgst">#REF!</definedName>
    <definedName name="dhrsrhg">#REF!</definedName>
    <definedName name="DHRTER">#REF!</definedName>
    <definedName name="dia_mm">#REF!</definedName>
    <definedName name="dkakjktgaie">#REF!</definedName>
    <definedName name="dkedue">#REF!</definedName>
    <definedName name="dkkdjfa">#REF!</definedName>
    <definedName name="dkxofndlc">#REF!</definedName>
    <definedName name="dong">#REF!</definedName>
    <definedName name="DRAW_COM">#REF!</definedName>
    <definedName name="DRAW_COM2">#REF!</definedName>
    <definedName name="DRAW_SINGLE">#REF!</definedName>
    <definedName name="DRAW_TICK">#REF!</definedName>
    <definedName name="DRE">#REF!</definedName>
    <definedName name="drfr">#REF!</definedName>
    <definedName name="drgbr">#REF!</definedName>
    <definedName name="drhv">#REF!</definedName>
    <definedName name="drsg">#REF!</definedName>
    <definedName name="dsefv">#REF!</definedName>
    <definedName name="dsther">#REF!</definedName>
    <definedName name="dtrea">#REF!</definedName>
    <definedName name="dwefv">#REF!</definedName>
    <definedName name="EATGAR">#REF!</definedName>
    <definedName name="eddd">#REF!</definedName>
    <definedName name="edgh">#REF!</definedName>
    <definedName name="edtgh">#REF!</definedName>
    <definedName name="eee">#REF!</definedName>
    <definedName name="EEEEE">#REF!</definedName>
    <definedName name="eegse66">#REF!</definedName>
    <definedName name="efsvsdr">#REF!</definedName>
    <definedName name="EHSJJ">#REF!</definedName>
    <definedName name="END">#REF!</definedName>
    <definedName name="_xlnm.Extract">#REF!</definedName>
    <definedName name="Extract_MI">#REF!</definedName>
    <definedName name="f">#REF!</definedName>
    <definedName name="F_CODE">#REF!</definedName>
    <definedName name="F_CODE1">#REF!</definedName>
    <definedName name="F_CST">#REF!</definedName>
    <definedName name="F_DCST">#REF!</definedName>
    <definedName name="F_DEXPEN">#REF!</definedName>
    <definedName name="F_DLABOR">#REF!</definedName>
    <definedName name="F_DQUAN">#REF!</definedName>
    <definedName name="F_EXPEN">#REF!</definedName>
    <definedName name="F_GUB1">#REF!</definedName>
    <definedName name="F_GUB2">#REF!</definedName>
    <definedName name="F_GUB3">#REF!</definedName>
    <definedName name="F_GUB4">#REF!</definedName>
    <definedName name="F_HALL">#REF!</definedName>
    <definedName name="F_JOOCODE">#REF!</definedName>
    <definedName name="F_JUK1">#REF!</definedName>
    <definedName name="F_JUK2">#REF!</definedName>
    <definedName name="F_JUK3">#REF!</definedName>
    <definedName name="F_JUK4">#REF!</definedName>
    <definedName name="F_JUK5">#REF!</definedName>
    <definedName name="F_JUKCUT">#REF!</definedName>
    <definedName name="F_JUKYULL">#REF!</definedName>
    <definedName name="F_JUNQUAN">#REF!</definedName>
    <definedName name="F_KCODE1">#REF!</definedName>
    <definedName name="F_KCODE2">#REF!</definedName>
    <definedName name="F_KCODE3">#REF!</definedName>
    <definedName name="F_KCODE4">#REF!</definedName>
    <definedName name="F_KCODE5">#REF!</definedName>
    <definedName name="F_KCODE6">#REF!</definedName>
    <definedName name="F_KSU1">#REF!</definedName>
    <definedName name="F_KSU2">#REF!</definedName>
    <definedName name="F_KSU3">#REF!</definedName>
    <definedName name="F_KSU4">#REF!</definedName>
    <definedName name="F_KSU5">#REF!</definedName>
    <definedName name="F_KSU6">#REF!</definedName>
    <definedName name="F_LABOR">#REF!</definedName>
    <definedName name="F_NAME">#REF!</definedName>
    <definedName name="F_QUAN">#REF!</definedName>
    <definedName name="F_REMARK">#REF!</definedName>
    <definedName name="F_SCODE">#REF!</definedName>
    <definedName name="F_SCST1">#REF!</definedName>
    <definedName name="F_SCST2">#REF!</definedName>
    <definedName name="F_SCST3">#REF!</definedName>
    <definedName name="F_SCST4">#REF!</definedName>
    <definedName name="F_SCST5">#REF!</definedName>
    <definedName name="F_SCST6">#REF!</definedName>
    <definedName name="F_SCST7">#REF!</definedName>
    <definedName name="F_SEQ">#REF!</definedName>
    <definedName name="F_SQUAN">#REF!</definedName>
    <definedName name="F_STAD">#REF!</definedName>
    <definedName name="F_UNIT">#REF!</definedName>
    <definedName name="fbdrn">#REF!</definedName>
    <definedName name="fdfd">#REF!</definedName>
    <definedName name="fdgz">#REF!</definedName>
    <definedName name="fdsds">#REF!</definedName>
    <definedName name="ff">#REF!</definedName>
    <definedName name="fff">#REF!</definedName>
    <definedName name="fffhesre">#REF!</definedName>
    <definedName name="fgbsdrg">#REF!</definedName>
    <definedName name="fge5rgdb">#REF!</definedName>
    <definedName name="fhdr">#REF!</definedName>
    <definedName name="fhsr">#REF!</definedName>
    <definedName name="fsre">#REF!</definedName>
    <definedName name="G">#REF!</definedName>
    <definedName name="GAB">#REF!</definedName>
    <definedName name="gaetyaer">#REF!</definedName>
    <definedName name="gahn">#REF!</definedName>
    <definedName name="GAREGA">#REF!</definedName>
    <definedName name="GBRWRE">#REF!</definedName>
    <definedName name="GCODE">#N/A</definedName>
    <definedName name="gdrhjhfnbc">#REF!</definedName>
    <definedName name="gdsxgv">#REF!</definedName>
    <definedName name="GER">#REF!</definedName>
    <definedName name="GERAWE">#REF!</definedName>
    <definedName name="GEWE">#REF!</definedName>
    <definedName name="gfhjkk">#REF!</definedName>
    <definedName name="GG">#REF!</definedName>
    <definedName name="ghe">#REF!</definedName>
    <definedName name="gied">#REF!</definedName>
    <definedName name="gita">#REF!</definedName>
    <definedName name="gita1">#REF!</definedName>
    <definedName name="gita142">#REF!</definedName>
    <definedName name="gita153">#REF!</definedName>
    <definedName name="gita154">#REF!</definedName>
    <definedName name="gita2">#REF!</definedName>
    <definedName name="gita3">#REF!</definedName>
    <definedName name="gita4">#REF!</definedName>
    <definedName name="GLFRFY">#REF!</definedName>
    <definedName name="gong">#REF!</definedName>
    <definedName name="GOYONG">#REF!</definedName>
    <definedName name="GPRIC">#N/A</definedName>
    <definedName name="GRAER">#REF!</definedName>
    <definedName name="GRAWERTGA">#REF!</definedName>
    <definedName name="GREWE">#REF!</definedName>
    <definedName name="grghbr">#REF!</definedName>
    <definedName name="grsgs">#REF!</definedName>
    <definedName name="gsdretbsrg">#REF!</definedName>
    <definedName name="gsefsdf">#REF!</definedName>
    <definedName name="GSETW">#REF!</definedName>
    <definedName name="GUBUN">#N/A</definedName>
    <definedName name="guk">#REF!</definedName>
    <definedName name="GUNG2">#REF!</definedName>
    <definedName name="GUNG3">#REF!</definedName>
    <definedName name="gwetgw">#REF!</definedName>
    <definedName name="GWEW">#REF!</definedName>
    <definedName name="gyu">#REF!</definedName>
    <definedName name="H_1">#REF!</definedName>
    <definedName name="H_2">#REF!</definedName>
    <definedName name="h_water">#REF!</definedName>
    <definedName name="hahar">#REF!</definedName>
    <definedName name="HASREAJHSER">#REF!</definedName>
    <definedName name="HDDD">#REF!</definedName>
    <definedName name="HDDRTG">#REF!</definedName>
    <definedName name="hdjw4e">#REF!</definedName>
    <definedName name="HER">#REF!</definedName>
    <definedName name="hetre">#REF!</definedName>
    <definedName name="hfcrr">#REF!</definedName>
    <definedName name="hfdtrhdsr">#REF!</definedName>
    <definedName name="hfrbbd">#REF!</definedName>
    <definedName name="HFSV">#REF!</definedName>
    <definedName name="HGAER">#REF!</definedName>
    <definedName name="hgbnrt">#REF!</definedName>
    <definedName name="HGDS">#REF!</definedName>
    <definedName name="hgfdfhare">#REF!</definedName>
    <definedName name="hgjrsr">#REF!</definedName>
    <definedName name="hgrawy">#REF!</definedName>
    <definedName name="hhh">#REF!</definedName>
    <definedName name="hhjntr">#REF!</definedName>
    <definedName name="hjkftvnft">#REF!</definedName>
    <definedName name="hrehhte">#REF!</definedName>
    <definedName name="hrerdr">#REF!</definedName>
    <definedName name="hrrdr">#REF!</definedName>
    <definedName name="hrrerese">#REF!</definedName>
    <definedName name="hrrsrtg">#REF!</definedName>
    <definedName name="HRSCC">#REF!</definedName>
    <definedName name="HRSDHR">#REF!</definedName>
    <definedName name="hrseh">#REF!</definedName>
    <definedName name="hrtyhs">#REF!</definedName>
    <definedName name="hrwaet">#REF!</definedName>
    <definedName name="HSR">#REF!</definedName>
    <definedName name="HSRE">#REF!</definedName>
    <definedName name="hsrser">#REF!</definedName>
    <definedName name="hsryh">#REF!</definedName>
    <definedName name="htjk">#REF!</definedName>
    <definedName name="htreser">#REF!</definedName>
    <definedName name="htrtdbdr">#REF!</definedName>
    <definedName name="hvdrb">#REF!</definedName>
    <definedName name="ID">#REF!,#REF!</definedName>
    <definedName name="imdong">#REF!</definedName>
    <definedName name="iv">#REF!</definedName>
    <definedName name="jajae1">#REF!</definedName>
    <definedName name="jajae2">#REF!</definedName>
    <definedName name="JDRHB">#REF!</definedName>
    <definedName name="jdtruh">#REF!</definedName>
    <definedName name="jftrfhnftgv">#REF!</definedName>
    <definedName name="jhaeryhg">#REF!</definedName>
    <definedName name="jhary">#REF!</definedName>
    <definedName name="jhsred">#REF!</definedName>
    <definedName name="jhtyerxf">#REF!</definedName>
    <definedName name="JJERA">#REF!</definedName>
    <definedName name="jktgndk">#REF!</definedName>
    <definedName name="jmcnrfta">#REF!</definedName>
    <definedName name="jmdtr">#REF!</definedName>
    <definedName name="jmdtrs">#REF!</definedName>
    <definedName name="JMMJ">#REF!</definedName>
    <definedName name="jmyyffbnrt">#REF!</definedName>
    <definedName name="JRDTE">#REF!</definedName>
    <definedName name="JRRE">#REF!</definedName>
    <definedName name="jskstrf">#REF!</definedName>
    <definedName name="jtdrs">#REF!</definedName>
    <definedName name="jtear">#REF!</definedName>
    <definedName name="jteryhg">#REF!</definedName>
    <definedName name="jthvnftfs">#REF!</definedName>
    <definedName name="kdtrs">#REF!</definedName>
    <definedName name="KFKK">#REF!</definedName>
    <definedName name="kinggh">#REF!</definedName>
    <definedName name="kk">#REF!</definedName>
    <definedName name="KKK">#REF!</definedName>
    <definedName name="krsd">#REF!</definedName>
    <definedName name="kuk">#REF!</definedName>
    <definedName name="LB">#REF!</definedName>
    <definedName name="LINE">#REF!</definedName>
    <definedName name="LINE_1">#REF!</definedName>
    <definedName name="LINE_2">#REF!</definedName>
    <definedName name="LINE_3">#REF!</definedName>
    <definedName name="LPRIC">#N/A</definedName>
    <definedName name="L형옹벽측구">#REF!</definedName>
    <definedName name="m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14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NHL">#REF!</definedName>
    <definedName name="MONEY">#REF!,#REF!</definedName>
    <definedName name="MPRIC">#N/A</definedName>
    <definedName name="NAME">#REF!</definedName>
    <definedName name="Network">#REF!</definedName>
    <definedName name="NEW">#REF!</definedName>
    <definedName name="NFB">#REF!</definedName>
    <definedName name="NFERY">#REF!</definedName>
    <definedName name="nfghstr">#REF!</definedName>
    <definedName name="nfrthcbft">#REF!</definedName>
    <definedName name="ngfdrt">#REF!</definedName>
    <definedName name="NRRFJDTRF">#REF!</definedName>
    <definedName name="nrterhg">#REF!</definedName>
    <definedName name="nstgf">#REF!</definedName>
    <definedName name="nstr">#REF!</definedName>
    <definedName name="nstras">#REF!</definedName>
    <definedName name="NTER">#REF!</definedName>
    <definedName name="ntryre">#REF!</definedName>
    <definedName name="ntsre">#REF!</definedName>
    <definedName name="ntsrtea">#REF!</definedName>
    <definedName name="NUMBER">#REF!</definedName>
    <definedName name="nyr">#REF!</definedName>
    <definedName name="NYTFDDR">#REF!</definedName>
    <definedName name="o_m">#REF!</definedName>
    <definedName name="p_m">#REF!</definedName>
    <definedName name="P01_">#REF!</definedName>
    <definedName name="pan">#REF!</definedName>
    <definedName name="park">#REF!</definedName>
    <definedName name="park1">#REF!</definedName>
    <definedName name="park133">#REF!</definedName>
    <definedName name="park134">#REF!</definedName>
    <definedName name="park135">#REF!</definedName>
    <definedName name="park2">#REF!</definedName>
    <definedName name="park3">#REF!</definedName>
    <definedName name="PICTURE6">#REF!</definedName>
    <definedName name="pile_s">#REF!</definedName>
    <definedName name="PIPE40">#REF!</definedName>
    <definedName name="PLINT_TITLES">#REF!</definedName>
    <definedName name="PNAME">#N/A</definedName>
    <definedName name="PPP">#REF!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INT_TITLS">#REF!</definedName>
    <definedName name="PRT">#REF!</definedName>
    <definedName name="q">#REF!</definedName>
    <definedName name="qh">#REF!</definedName>
    <definedName name="_xlnm.Recorder">#REF!</definedName>
    <definedName name="RER">#REF!</definedName>
    <definedName name="rff">#REF!</definedName>
    <definedName name="rhbed">#REF!</definedName>
    <definedName name="rkl">#REF!</definedName>
    <definedName name="rlr">#REF!</definedName>
    <definedName name="RYA">#REF!</definedName>
    <definedName name="RYANG">#N/A</definedName>
    <definedName name="s">#REF!</definedName>
    <definedName name="s_1">#REF!</definedName>
    <definedName name="s_2">#REF!</definedName>
    <definedName name="SAN">#REF!</definedName>
    <definedName name="SCODE">#N/A</definedName>
    <definedName name="sdrg">#REF!</definedName>
    <definedName name="SEAEWS">#REF!</definedName>
    <definedName name="SESERW">#REF!</definedName>
    <definedName name="sesf">#REF!</definedName>
    <definedName name="SESGFWS">#REF!</definedName>
    <definedName name="SET">#REF!</definedName>
    <definedName name="SETGFS">#REF!</definedName>
    <definedName name="SETWSTEG">#REF!</definedName>
    <definedName name="SHSRJHASAE">#REF!</definedName>
    <definedName name="sil">#REF!</definedName>
    <definedName name="sksksk">#REF!</definedName>
    <definedName name="SODUR2">#REF!</definedName>
    <definedName name="SPECI">#N/A</definedName>
    <definedName name="SSS">#REF!</definedName>
    <definedName name="sssss">#REF!</definedName>
    <definedName name="sswfsas">#REF!</definedName>
    <definedName name="START">#REF!</definedName>
    <definedName name="STGWRTGA">#REF!</definedName>
    <definedName name="SUL">#REF!</definedName>
    <definedName name="sulb">#REF!</definedName>
    <definedName name="sum">#REF!</definedName>
    <definedName name="TEST_1">#REF!</definedName>
    <definedName name="TEST_2">#REF!</definedName>
    <definedName name="TEST_A">#REF!</definedName>
    <definedName name="TEST_A1">#N/A</definedName>
    <definedName name="TEST_A2">#REF!</definedName>
    <definedName name="TEST_A3">#REF!</definedName>
    <definedName name="TEST_B">#REF!</definedName>
    <definedName name="TEST_B1">#N/A</definedName>
    <definedName name="TEST_B2">#REF!</definedName>
    <definedName name="TEST_B3">#REF!</definedName>
    <definedName name="TEST_C">#REF!</definedName>
    <definedName name="TEST_C1">#N/A</definedName>
    <definedName name="TEST_C2">#REF!</definedName>
    <definedName name="TEST_C3">#REF!</definedName>
    <definedName name="TEST_D">#REF!</definedName>
    <definedName name="TEST_D1">#N/A</definedName>
    <definedName name="TEST_D2">#REF!</definedName>
    <definedName name="TEST_D3">#REF!</definedName>
    <definedName name="TEST_E">#REF!</definedName>
    <definedName name="TEST_E1">#N/A</definedName>
    <definedName name="TEST_E2">#REF!</definedName>
    <definedName name="TEST_E3">#REF!</definedName>
    <definedName name="TEST_F">#N/A</definedName>
    <definedName name="TEST_F1">#REF!</definedName>
    <definedName name="TEST_F2">#REF!</definedName>
    <definedName name="TEST_F3">#REF!</definedName>
    <definedName name="TEST_G">#N/A</definedName>
    <definedName name="TEST_G1">#REF!</definedName>
    <definedName name="TEST_G2">#REF!</definedName>
    <definedName name="TEST_G3">#REF!</definedName>
    <definedName name="TEST_H">#N/A</definedName>
    <definedName name="TEST_H1">#REF!</definedName>
    <definedName name="TEST_H2">#REF!</definedName>
    <definedName name="TEST_H3">#REF!</definedName>
    <definedName name="TEST_I">#N/A</definedName>
    <definedName name="TEST_I1">#REF!</definedName>
    <definedName name="TEST_I2">#REF!</definedName>
    <definedName name="TEST_I3">#REF!</definedName>
    <definedName name="TEST_J">#N/A</definedName>
    <definedName name="TEST_J1">#REF!</definedName>
    <definedName name="TEST_J2">#REF!</definedName>
    <definedName name="TEST_J3">#REF!</definedName>
    <definedName name="TEST_K">#N/A</definedName>
    <definedName name="TEST_K1">#REF!</definedName>
    <definedName name="TEST_K2">#REF!</definedName>
    <definedName name="TEST_K3">#REF!</definedName>
    <definedName name="TEST_L2">#REF!</definedName>
    <definedName name="TEST_L3">#REF!</definedName>
    <definedName name="TEST_M2">#REF!</definedName>
    <definedName name="TEST_M3">#REF!</definedName>
    <definedName name="TEST_N2">#REF!</definedName>
    <definedName name="TEST_N3">#REF!</definedName>
    <definedName name="TEST_O2">#REF!</definedName>
    <definedName name="TEST_O3">#REF!</definedName>
    <definedName name="TEST_P2">#REF!</definedName>
    <definedName name="TEST_P3">#REF!</definedName>
    <definedName name="TEST_Q2">#REF!</definedName>
    <definedName name="TEST_Q3">#REF!</definedName>
    <definedName name="TEST_R2">#REF!</definedName>
    <definedName name="TEST_R3">#REF!</definedName>
    <definedName name="TEST_S3">#REF!</definedName>
    <definedName name="TEST_T3">#REF!</definedName>
    <definedName name="TEST_U3">#REF!</definedName>
    <definedName name="TEST_V3">#REF!</definedName>
    <definedName name="TEST_W3">#REF!</definedName>
    <definedName name="TEST_X3">#REF!</definedName>
    <definedName name="TEST_Y3">#REF!</definedName>
    <definedName name="TEST_Z3">#REF!</definedName>
    <definedName name="TMPRICC">#N/A</definedName>
    <definedName name="tmrd">#REF!</definedName>
    <definedName name="tt">#REF!</definedName>
    <definedName name="TTYHG">#REF!</definedName>
    <definedName name="TYPE">#REF!</definedName>
    <definedName name="ujfnftcnftdsre">#REF!</definedName>
    <definedName name="UL">#REF!</definedName>
    <definedName name="UPS">#REF!</definedName>
    <definedName name="VCSS">#REF!</definedName>
    <definedName name="vsdtgs">#REF!</definedName>
    <definedName name="vvetgrwe">#REF!</definedName>
    <definedName name="w">#REF!</definedName>
    <definedName name="w_m">#REF!</definedName>
    <definedName name="w_m1">#REF!</definedName>
    <definedName name="w_m2">#REF!</definedName>
    <definedName name="wessdd">#REF!</definedName>
    <definedName name="whtkd">#REF!</definedName>
    <definedName name="WON">#REF!</definedName>
    <definedName name="xdfezf">#REF!</definedName>
    <definedName name="xerwf">#REF!</definedName>
    <definedName name="xhdiwmdld">#REF!</definedName>
    <definedName name="yongi">#REF!</definedName>
    <definedName name="yongin">#REF!</definedName>
    <definedName name="yongin1">#REF!</definedName>
    <definedName name="z">#REF!</definedName>
    <definedName name="ㄱ">#REF!</definedName>
    <definedName name="ㄱㄱㄱ">#REF!</definedName>
    <definedName name="가구공사소계">#REF!</definedName>
    <definedName name="가나">#REF!</definedName>
    <definedName name="가설">#REF!</definedName>
    <definedName name="가설경비">#REF!</definedName>
    <definedName name="가설공사">#REF!</definedName>
    <definedName name="가설노무">#REF!</definedName>
    <definedName name="가설재료">#REF!</definedName>
    <definedName name="가시설">#REF!</definedName>
    <definedName name="가시설공">#REF!</definedName>
    <definedName name="가실행">#REF!</definedName>
    <definedName name="간노">#REF!</definedName>
    <definedName name="간노1">#REF!</definedName>
    <definedName name="간노2">#REF!</definedName>
    <definedName name="간접">#REF!</definedName>
    <definedName name="간접노무비">#REF!</definedName>
    <definedName name="간접비">#REF!</definedName>
    <definedName name="간접비내역">#REF!</definedName>
    <definedName name="간지">#REF!</definedName>
    <definedName name="갑">#REF!</definedName>
    <definedName name="갑지">#REF!</definedName>
    <definedName name="갑지1">#REF!</definedName>
    <definedName name="개요">#REF!</definedName>
    <definedName name="개요서">#REF!</definedName>
    <definedName name="갱부">#REF!</definedName>
    <definedName name="거">#REF!</definedName>
    <definedName name="건내역">#REF!</definedName>
    <definedName name="건토">#REF!</definedName>
    <definedName name="견적">#REF!</definedName>
    <definedName name="견적탱크">#REF!</definedName>
    <definedName name="경">#REF!</definedName>
    <definedName name="경1">#REF!</definedName>
    <definedName name="경2">#REF!</definedName>
    <definedName name="경3">#REF!</definedName>
    <definedName name="경4">#REF!</definedName>
    <definedName name="경5">#REF!</definedName>
    <definedName name="경비">#REF!</definedName>
    <definedName name="경비율">#REF!</definedName>
    <definedName name="계">#REF!</definedName>
    <definedName name="계단실표지판">#REF!</definedName>
    <definedName name="계측">#REF!</definedName>
    <definedName name="고압">#REF!</definedName>
    <definedName name="고용">#REF!</definedName>
    <definedName name="고용1">#REF!</definedName>
    <definedName name="고용2">#REF!</definedName>
    <definedName name="곡사명">#REF!</definedName>
    <definedName name="골완">#REF!</definedName>
    <definedName name="공구및예비품">#REF!</definedName>
    <definedName name="공급가액">#REF!</definedName>
    <definedName name="공기">#REF!</definedName>
    <definedName name="공동내역서">#REF!</definedName>
    <definedName name="공명">#REF!</definedName>
    <definedName name="공명1">#REF!</definedName>
    <definedName name="공사명">#REF!</definedName>
    <definedName name="공사비">#REF!</definedName>
    <definedName name="공종">#REF!</definedName>
    <definedName name="공종구분">#REF!</definedName>
    <definedName name="공종별수량합산_qry">#REF!</definedName>
    <definedName name="공통">#REF!</definedName>
    <definedName name="공통가설공사">#REF!</definedName>
    <definedName name="공통경비">#REF!</definedName>
    <definedName name="공통노무비">#REF!</definedName>
    <definedName name="공통재료비">#REF!</definedName>
    <definedName name="관급">#REF!,#REF!,#REF!</definedName>
    <definedName name="관급단가">#REF!</definedName>
    <definedName name="관급자재비">#REF!</definedName>
    <definedName name="광명">#REF!</definedName>
    <definedName name="구매자재비">#REF!</definedName>
    <definedName name="구미">#REF!</definedName>
    <definedName name="구분">#REF!</definedName>
    <definedName name="구조물공">#REF!</definedName>
    <definedName name="굴화">#REF!</definedName>
    <definedName name="규___격">#REF!</definedName>
    <definedName name="규격">#REF!</definedName>
    <definedName name="금속A소계">#REF!</definedName>
    <definedName name="금속B소계">#REF!</definedName>
    <definedName name="금속C소계">#REF!</definedName>
    <definedName name="금속D소계">#REF!</definedName>
    <definedName name="금속E소계">#REF!</definedName>
    <definedName name="금속경비">#REF!</definedName>
    <definedName name="금속공사">#REF!</definedName>
    <definedName name="금속노무">#REF!</definedName>
    <definedName name="금속재료">#REF!</definedName>
    <definedName name="금액">#REF!</definedName>
    <definedName name="기경">#REF!</definedName>
    <definedName name="기경1">#REF!</definedName>
    <definedName name="기계">#REF!</definedName>
    <definedName name="기계공">#REF!</definedName>
    <definedName name="기계내역서">#REF!</definedName>
    <definedName name="기계원하">#REF!</definedName>
    <definedName name="기노">#REF!</definedName>
    <definedName name="기노1">#REF!</definedName>
    <definedName name="기이">#REF!</definedName>
    <definedName name="기재">#REF!</definedName>
    <definedName name="기재1">#REF!</definedName>
    <definedName name="기초공사">#REF!</definedName>
    <definedName name="기타">#REF!</definedName>
    <definedName name="기타1">#REF!</definedName>
    <definedName name="기타2">#REF!</definedName>
    <definedName name="기타경비">#REF!</definedName>
    <definedName name="ㄴ">#REF!</definedName>
    <definedName name="ㄴㄴ">#REF!</definedName>
    <definedName name="낙찰가">#N/A</definedName>
    <definedName name="낙찰률">#REF!</definedName>
    <definedName name="낙찰율">0.9</definedName>
    <definedName name="남양">#REF!</definedName>
    <definedName name="남양1">#REF!</definedName>
    <definedName name="남양2">#REF!</definedName>
    <definedName name="남양단가">#REF!</definedName>
    <definedName name="내선전공">#REF!</definedName>
    <definedName name="내역">#REF!</definedName>
    <definedName name="내역1">#REF!</definedName>
    <definedName name="내역2">#REF!</definedName>
    <definedName name="내역갑지">#REF!</definedName>
    <definedName name="내역서가시설공">#REF!</definedName>
    <definedName name="내역서구조물공">#REF!</definedName>
    <definedName name="내역서배수공">#REF!</definedName>
    <definedName name="내역서부대공">#REF!</definedName>
    <definedName name="내역서토공">#REF!</definedName>
    <definedName name="내역서포장공">#REF!</definedName>
    <definedName name="내역수량">#REF!</definedName>
    <definedName name="노무비">#REF!</definedName>
    <definedName name="노임">#REF!</definedName>
    <definedName name="누계">#REF!</definedName>
    <definedName name="ㄷ">#REF!</definedName>
    <definedName name="ㄷㄷㄷ">#REF!</definedName>
    <definedName name="ㄷㄹ">#REF!</definedName>
    <definedName name="단가">#REF!</definedName>
    <definedName name="단가1">#REF!</definedName>
    <definedName name="단가2">#REF!</definedName>
    <definedName name="단가비교">#REF!</definedName>
    <definedName name="단가비교표">#REF!</definedName>
    <definedName name="단가조사갑지">#REF!</definedName>
    <definedName name="단가표">#REF!</definedName>
    <definedName name="단위">#REF!</definedName>
    <definedName name="대">#REF!</definedName>
    <definedName name="대개소">#REF!</definedName>
    <definedName name="대관경">#REF!</definedName>
    <definedName name="대구건축">#REF!</definedName>
    <definedName name="대기영역">#REF!</definedName>
    <definedName name="대비">#REF!</definedName>
    <definedName name="대전내역서_대전추가비교표_List">#REF!</definedName>
    <definedName name="데이타베이스">#REF!</definedName>
    <definedName name="도급">#REF!</definedName>
    <definedName name="도급공사">#REF!</definedName>
    <definedName name="도급단가">#REF!</definedName>
    <definedName name="도급예산액">#REF!</definedName>
    <definedName name="도급예상액">#REF!</definedName>
    <definedName name="도배소계">#REF!</definedName>
    <definedName name="도비">#REF!</definedName>
    <definedName name="도장경비">#REF!</definedName>
    <definedName name="도장공">#REF!</definedName>
    <definedName name="도장공사">#REF!</definedName>
    <definedName name="도장노무">#REF!</definedName>
    <definedName name="도장소계">#REF!</definedName>
    <definedName name="도장재료">#REF!</definedName>
    <definedName name="도전">#REF!</definedName>
    <definedName name="동공일">#REF!</definedName>
    <definedName name="ㄹ">#REF!</definedName>
    <definedName name="ㄹㄶㅎ">#REF!</definedName>
    <definedName name="ㄹㅇㄹ">#REF!</definedName>
    <definedName name="ㄹㅇㅇㄻ">#REF!</definedName>
    <definedName name="ㅁ">#REF!</definedName>
    <definedName name="ㅁ1">#REF!</definedName>
    <definedName name="ㅁ101">#REF!</definedName>
    <definedName name="ㅁ1180">#REF!</definedName>
    <definedName name="ㅁ201">#REF!</definedName>
    <definedName name="ㅁ636">#REF!</definedName>
    <definedName name="ㅁ89">#REF!</definedName>
    <definedName name="ㅁㅁ">#REF!</definedName>
    <definedName name="ㅁㅇㄹ">#REF!</definedName>
    <definedName name="ㅁㅇㅀ">#REF!</definedName>
    <definedName name="마가">#REF!</definedName>
    <definedName name="머릿말">#REF!</definedName>
    <definedName name="면적">#REF!</definedName>
    <definedName name="명칭">#REF!</definedName>
    <definedName name="목고">#REF!</definedName>
    <definedName name="목공경비">#REF!</definedName>
    <definedName name="목공노무">#REF!</definedName>
    <definedName name="목공사">#REF!</definedName>
    <definedName name="목공사소계">#REF!</definedName>
    <definedName name="목공재료">#REF!</definedName>
    <definedName name="목도">#REF!</definedName>
    <definedName name="목도공">#REF!</definedName>
    <definedName name="몰라">#REF!</definedName>
    <definedName name="몰러">#REF!</definedName>
    <definedName name="물가01">#REF!</definedName>
    <definedName name="물가지수">#REF!</definedName>
    <definedName name="미고">#REF!</definedName>
    <definedName name="미장B공과잡비">#REF!</definedName>
    <definedName name="미장B소계">#REF!</definedName>
    <definedName name="미장C소계">#REF!</definedName>
    <definedName name="미장경비">#REF!</definedName>
    <definedName name="미장공">#REF!</definedName>
    <definedName name="미장공과잡비">#REF!</definedName>
    <definedName name="미장공사">#REF!</definedName>
    <definedName name="미장기구">#REF!</definedName>
    <definedName name="미장노무">#REF!</definedName>
    <definedName name="미장부대">0.83</definedName>
    <definedName name="미장소계">#REF!</definedName>
    <definedName name="미장재료">#REF!</definedName>
    <definedName name="밎낟소">#REF!</definedName>
    <definedName name="바닥재소계">#REF!</definedName>
    <definedName name="바로">#REF!</definedName>
    <definedName name="바보">#REF!</definedName>
    <definedName name="반여수량">#REF!</definedName>
    <definedName name="방수경비">#REF!</definedName>
    <definedName name="방수공">#REF!</definedName>
    <definedName name="방수공과잡비">#REF!</definedName>
    <definedName name="방수공사">#REF!</definedName>
    <definedName name="방수노무">#REF!</definedName>
    <definedName name="방수소계">#REF!</definedName>
    <definedName name="방수재료">#REF!</definedName>
    <definedName name="배관공">#REF!</definedName>
    <definedName name="배수공">#REF!</definedName>
    <definedName name="배전전공">#REF!</definedName>
    <definedName name="변경세부내역">#REF!</definedName>
    <definedName name="보">#REF!</definedName>
    <definedName name="보통인부">#REF!</definedName>
    <definedName name="본동경비">#REF!</definedName>
    <definedName name="본동계">#REF!</definedName>
    <definedName name="본동노무">#REF!</definedName>
    <definedName name="본동재료">#REF!</definedName>
    <definedName name="부가">#REF!</definedName>
    <definedName name="부가가치세">#REF!</definedName>
    <definedName name="부대견적">#REF!</definedName>
    <definedName name="부대공">#REF!</definedName>
    <definedName name="부대입찰단가">#REF!</definedName>
    <definedName name="부대입찰총괄표">#REF!</definedName>
    <definedName name="부대토목">#REF!</definedName>
    <definedName name="부천1">#REF!</definedName>
    <definedName name="분">#REF!</definedName>
    <definedName name="분개">#REF!</definedName>
    <definedName name="비_고">#REF!</definedName>
    <definedName name="비계공">#REF!</definedName>
    <definedName name="비고참조">#REF!</definedName>
    <definedName name="비교표">#REF!</definedName>
    <definedName name="비맿">#REF!</definedName>
    <definedName name="비행기">#REF!</definedName>
    <definedName name="ㅅ">#REF!</definedName>
    <definedName name="사급자재1">#REF!</definedName>
    <definedName name="사급자재2">#REF!</definedName>
    <definedName name="사본">#REF!</definedName>
    <definedName name="사알">#REF!</definedName>
    <definedName name="산재">#REF!</definedName>
    <definedName name="산재1">#REF!</definedName>
    <definedName name="산재2">#REF!</definedName>
    <definedName name="산재보험료">#REF!</definedName>
    <definedName name="산출">#REF!</definedName>
    <definedName name="산출1">#REF!</definedName>
    <definedName name="산출금양">#REF!</definedName>
    <definedName name="상가">#REF!</definedName>
    <definedName name="상무주소">#REF!</definedName>
    <definedName name="상수도">#REF!</definedName>
    <definedName name="생경">#REF!</definedName>
    <definedName name="생경1">#REF!</definedName>
    <definedName name="생노">#REF!</definedName>
    <definedName name="생노1">#REF!</definedName>
    <definedName name="생산01">#REF!</definedName>
    <definedName name="생산자물가지수">#REF!</definedName>
    <definedName name="생산지수">#REF!</definedName>
    <definedName name="생이">#REF!</definedName>
    <definedName name="생재">#REF!</definedName>
    <definedName name="생재1">#REF!</definedName>
    <definedName name="석A소계">#REF!</definedName>
    <definedName name="석B소계">#REF!</definedName>
    <definedName name="석공">#REF!</definedName>
    <definedName name="석공경비">#REF!</definedName>
    <definedName name="석공노무">#REF!</definedName>
    <definedName name="석공사">#REF!</definedName>
    <definedName name="석공재료">#REF!</definedName>
    <definedName name="설.내">#REF!</definedName>
    <definedName name="설계">#REF!</definedName>
    <definedName name="설계가">#REF!</definedName>
    <definedName name="설계단가">#REF!</definedName>
    <definedName name="설계단가1">#REF!</definedName>
    <definedName name="설계변경">#REF!</definedName>
    <definedName name="설계사">#REF!</definedName>
    <definedName name="설계삼">#REF!</definedName>
    <definedName name="설계오">#REF!</definedName>
    <definedName name="설계육">#REF!</definedName>
    <definedName name="설계율">1</definedName>
    <definedName name="설계이">#REF!</definedName>
    <definedName name="설내">#REF!</definedName>
    <definedName name="설내역서">#REF!</definedName>
    <definedName name="설집">#REF!</definedName>
    <definedName name="세로갑지">#REF!</definedName>
    <definedName name="소">#REF!</definedName>
    <definedName name="소개소">#REF!</definedName>
    <definedName name="소관경">#REF!</definedName>
    <definedName name="소방">#REF!</definedName>
    <definedName name="소방제외">#REF!</definedName>
    <definedName name="손해보험료">#REF!</definedName>
    <definedName name="수">#REF!</definedName>
    <definedName name="수도">#REF!</definedName>
    <definedName name="수량">#REF!</definedName>
    <definedName name="수량1">#REF!</definedName>
    <definedName name="수량산출갑지">#REF!</definedName>
    <definedName name="수량입력">#REF!</definedName>
    <definedName name="수량표">#REF!</definedName>
    <definedName name="수식">#REF!</definedName>
    <definedName name="수장경비">#REF!</definedName>
    <definedName name="수장공사">#REF!</definedName>
    <definedName name="수장노무">#REF!</definedName>
    <definedName name="수장부대">0.83</definedName>
    <definedName name="수장재료">#REF!</definedName>
    <definedName name="수행능력">#REF!</definedName>
    <definedName name="순공사비">#REF!</definedName>
    <definedName name="순공사원가">#REF!</definedName>
    <definedName name="순천">#REF!</definedName>
    <definedName name="순천단가">#REF!</definedName>
    <definedName name="숫자">#REF!</definedName>
    <definedName name="시">#REF!</definedName>
    <definedName name="시__설__명">#REF!</definedName>
    <definedName name="시발">#REF!</definedName>
    <definedName name="시중">#REF!</definedName>
    <definedName name="시험사2급">#REF!</definedName>
    <definedName name="시험사3급">#REF!</definedName>
    <definedName name="시험사4급">#REF!</definedName>
    <definedName name="실품">#REF!</definedName>
    <definedName name="실행">#REF!</definedName>
    <definedName name="실행금액">#REF!</definedName>
    <definedName name="실행총괄">#REF!</definedName>
    <definedName name="쓰">#REF!</definedName>
    <definedName name="ㅇ">#REF!</definedName>
    <definedName name="ㅇㄹ">#REF!</definedName>
    <definedName name="ㅇㄹㅇㄹ">#REF!</definedName>
    <definedName name="ㅇㅇ">#REF!</definedName>
    <definedName name="ㅇㅇㅇ">#REF!</definedName>
    <definedName name="ㅇㅇㅇㅇ">#REF!</definedName>
    <definedName name="아">#REF!</definedName>
    <definedName name="아경">#REF!</definedName>
    <definedName name="아경1">#REF!</definedName>
    <definedName name="아노">#REF!</definedName>
    <definedName name="아노1">#REF!</definedName>
    <definedName name="아스콘2" hidden="1">#REF!</definedName>
    <definedName name="아이">#REF!</definedName>
    <definedName name="아재">#REF!</definedName>
    <definedName name="아재1">#REF!</definedName>
    <definedName name="아파트">#REF!</definedName>
    <definedName name="안전">#REF!</definedName>
    <definedName name="안전1">#REF!</definedName>
    <definedName name="안전2">#REF!</definedName>
    <definedName name="안전관리비">#REF!</definedName>
    <definedName name="어스앙카">#REF!</definedName>
    <definedName name="어양">#REF!</definedName>
    <definedName name="여수무선">#REF!</definedName>
    <definedName name="역T형옹벽__H___3.0">#REF!</definedName>
    <definedName name="역T형옹벽__H___4.0">#REF!</definedName>
    <definedName name="역T형옹벽__H___5.0">#REF!</definedName>
    <definedName name="역T형옹벽__H___5.5">#REF!</definedName>
    <definedName name="역T형옹벽__H___5.5___4.0">#REF!</definedName>
    <definedName name="역T형옹벽__H___7.0____4.0_변경">#REF!</definedName>
    <definedName name="역T형옹벽__H___7.0___5.0">#REF!</definedName>
    <definedName name="역T형옹벽H5.0">#REF!</definedName>
    <definedName name="연장">#REF!</definedName>
    <definedName name="올ㅇ">#REF!</definedName>
    <definedName name="옹벽">#REF!</definedName>
    <definedName name="왛">#REF!</definedName>
    <definedName name="요울">#REF!</definedName>
    <definedName name="요울1">#REF!</definedName>
    <definedName name="요율">#REF!</definedName>
    <definedName name="요율인쇄">#REF!</definedName>
    <definedName name="용접공">#REF!</definedName>
    <definedName name="운남건축">#REF!</definedName>
    <definedName name="운남보합">#REF!</definedName>
    <definedName name="운남하도">#REF!</definedName>
    <definedName name="운반공">#REF!</definedName>
    <definedName name="운전사_기계">#REF!</definedName>
    <definedName name="원가계산">#REF!</definedName>
    <definedName name="원가계산서">#REF!</definedName>
    <definedName name="원기경">#REF!</definedName>
    <definedName name="원기노">#REF!</definedName>
    <definedName name="원기재">#REF!</definedName>
    <definedName name="원복경">#REF!</definedName>
    <definedName name="원복노">#REF!</definedName>
    <definedName name="원복재">#REF!</definedName>
    <definedName name="원상경">#REF!</definedName>
    <definedName name="원상노">#REF!</definedName>
    <definedName name="원상재">#REF!</definedName>
    <definedName name="원아경">#REF!</definedName>
    <definedName name="원아노">#REF!</definedName>
    <definedName name="원아재">#REF!</definedName>
    <definedName name="원지경">#REF!</definedName>
    <definedName name="원지노">#REF!</definedName>
    <definedName name="원지재">#REF!</definedName>
    <definedName name="원하대비">#REF!</definedName>
    <definedName name="위병면회소">#REF!</definedName>
    <definedName name="위치">#N/A</definedName>
    <definedName name="유리A소계">#REF!</definedName>
    <definedName name="유리B소계">#REF!</definedName>
    <definedName name="유리경비">#REF!</definedName>
    <definedName name="유리공사">#REF!</definedName>
    <definedName name="유리노무">#REF!</definedName>
    <definedName name="유리재료">#REF!</definedName>
    <definedName name="을지">#REF!</definedName>
    <definedName name="응암개략산정표">#REF!</definedName>
    <definedName name="응암개략집계표">#REF!</definedName>
    <definedName name="의무비">#REF!</definedName>
    <definedName name="이윤">#REF!</definedName>
    <definedName name="이윤1">#REF!</definedName>
    <definedName name="이윤2">#REF!</definedName>
    <definedName name="인쇄1">#REF!</definedName>
    <definedName name="인원">#REF!</definedName>
    <definedName name="일관">#REF!</definedName>
    <definedName name="일관1">#REF!</definedName>
    <definedName name="일반">#REF!</definedName>
    <definedName name="일반1">#REF!</definedName>
    <definedName name="일반2">#REF!</definedName>
    <definedName name="일반관리비">#REF!</definedName>
    <definedName name="일위">#REF!</definedName>
    <definedName name="일위갑지">#REF!</definedName>
    <definedName name="일위대가">#REF!</definedName>
    <definedName name="일위대가목록">#REF!</definedName>
    <definedName name="일위대가표">#REF!</definedName>
    <definedName name="임시">#REF!</definedName>
    <definedName name="임직">#REF!</definedName>
    <definedName name="입력선택">#REF!</definedName>
    <definedName name="입찰내역">#REF!</definedName>
    <definedName name="있음">#REF!</definedName>
    <definedName name="자재">#REF!</definedName>
    <definedName name="자재경비">#REF!</definedName>
    <definedName name="자재공사">#REF!</definedName>
    <definedName name="자재노무">#REF!</definedName>
    <definedName name="자재비">#REF!</definedName>
    <definedName name="자재재료">#REF!</definedName>
    <definedName name="작업반장">#REF!</definedName>
    <definedName name="잘">#REF!</definedName>
    <definedName name="잡A소계">#REF!</definedName>
    <definedName name="잡B소계">#REF!</definedName>
    <definedName name="잡C소계">#REF!</definedName>
    <definedName name="잡D소계">#REF!</definedName>
    <definedName name="잡E소계">#REF!</definedName>
    <definedName name="잡F소계">#REF!</definedName>
    <definedName name="잡G소계">#REF!</definedName>
    <definedName name="잡H소계">#REF!</definedName>
    <definedName name="잡I소계">#REF!</definedName>
    <definedName name="잡J소계">#REF!</definedName>
    <definedName name="잡공경비">#REF!</definedName>
    <definedName name="잡공노무">#REF!</definedName>
    <definedName name="잡공사">#REF!</definedName>
    <definedName name="잡공재료">#REF!</definedName>
    <definedName name="장성기계">#REF!</definedName>
    <definedName name="장성전기">#REF!</definedName>
    <definedName name="재노비">#REF!</definedName>
    <definedName name="재노비율">#REF!</definedName>
    <definedName name="재료비">#REF!</definedName>
    <definedName name="저압">#REF!</definedName>
    <definedName name="적용">#REF!</definedName>
    <definedName name="전">#REF!</definedName>
    <definedName name="전기공사1급">#REF!</definedName>
    <definedName name="전기공사2급">#REF!</definedName>
    <definedName name="전기집계">#REF!</definedName>
    <definedName name="전기집계표">#REF!</definedName>
    <definedName name="전체">#REF!</definedName>
    <definedName name="점수표">#REF!</definedName>
    <definedName name="접대">#REF!</definedName>
    <definedName name="제목">#REF!</definedName>
    <definedName name="제잡비">#REF!</definedName>
    <definedName name="젠다이">#REF!</definedName>
    <definedName name="조">#REF!</definedName>
    <definedName name="조건_입력">#REF!</definedName>
    <definedName name="조경공">#REF!</definedName>
    <definedName name="조서">#REF!</definedName>
    <definedName name="조적경비">#REF!</definedName>
    <definedName name="조적공과잡비">#REF!</definedName>
    <definedName name="조적공사">#REF!</definedName>
    <definedName name="조적노무">#REF!</definedName>
    <definedName name="조적소계">#REF!</definedName>
    <definedName name="조적재료">#REF!</definedName>
    <definedName name="주경">#REF!</definedName>
    <definedName name="주경1">#REF!</definedName>
    <definedName name="주노">#REF!</definedName>
    <definedName name="주노1">#REF!</definedName>
    <definedName name="주민">#REF!</definedName>
    <definedName name="주이">#REF!</definedName>
    <definedName name="주재">#REF!</definedName>
    <definedName name="주재1">#REF!</definedName>
    <definedName name="주차1">#REF!</definedName>
    <definedName name="주차2">#REF!</definedName>
    <definedName name="중급기술자">#REF!</definedName>
    <definedName name="중기운전사">#REF!</definedName>
    <definedName name="중력식옹벽__H___2.0">#REF!</definedName>
    <definedName name="지01">#REF!</definedName>
    <definedName name="지02">#REF!</definedName>
    <definedName name="지경">#REF!</definedName>
    <definedName name="지경1">#REF!</definedName>
    <definedName name="지급자재.">#REF!</definedName>
    <definedName name="지급재납품도건축">#REF!</definedName>
    <definedName name="지급재납품도기계">#REF!</definedName>
    <definedName name="지노">#REF!</definedName>
    <definedName name="지노1">#REF!</definedName>
    <definedName name="지분분할">#REF!</definedName>
    <definedName name="지붕경비">#REF!</definedName>
    <definedName name="지붕노무">#REF!</definedName>
    <definedName name="지붕및홈통공사">#REF!</definedName>
    <definedName name="지붕재료">#REF!</definedName>
    <definedName name="지산최초">#REF!</definedName>
    <definedName name="지수">#REF!</definedName>
    <definedName name="지수2">#REF!</definedName>
    <definedName name="지수3">#REF!</definedName>
    <definedName name="지역">#N/A</definedName>
    <definedName name="지이">#REF!</definedName>
    <definedName name="지재">#REF!</definedName>
    <definedName name="지재1">#REF!</definedName>
    <definedName name="지하">#REF!</definedName>
    <definedName name="직접경비">#REF!</definedName>
    <definedName name="직접공사비">#REF!</definedName>
    <definedName name="직접노무비">#REF!</definedName>
    <definedName name="직접비">#REF!</definedName>
    <definedName name="직접재료비">#REF!</definedName>
    <definedName name="직종">#REF!</definedName>
    <definedName name="집계">#REF!</definedName>
    <definedName name="집계1">#REF!</definedName>
    <definedName name="집계2">#REF!</definedName>
    <definedName name="집수정수량">#REF!</definedName>
    <definedName name="ㅊ2409">#REF!</definedName>
    <definedName name="착공월">#REF!</definedName>
    <definedName name="창호경비">#REF!</definedName>
    <definedName name="창호공사">#REF!</definedName>
    <definedName name="창호노무">#REF!</definedName>
    <definedName name="창호소계">#REF!</definedName>
    <definedName name="창호재료">#REF!</definedName>
    <definedName name="처크">#REF!</definedName>
    <definedName name="철골경비">#REF!</definedName>
    <definedName name="철골공">#REF!</definedName>
    <definedName name="철골공사">#REF!</definedName>
    <definedName name="철골노무">#REF!</definedName>
    <definedName name="철골재료">#REF!</definedName>
    <definedName name="철공">#REF!</definedName>
    <definedName name="철근공">#REF!</definedName>
    <definedName name="철근콘크리트공사">#REF!</definedName>
    <definedName name="철콘경비">#REF!</definedName>
    <definedName name="철콘노무">#REF!</definedName>
    <definedName name="철콘노무1">#REF!</definedName>
    <definedName name="철콘부대">0.72</definedName>
    <definedName name="철콘사급">0.83</definedName>
    <definedName name="철콘재료">#REF!</definedName>
    <definedName name="총괄">#REF!</definedName>
    <definedName name="총괄표">#REF!</definedName>
    <definedName name="총토탈">#REF!</definedName>
    <definedName name="총토탈1">#REF!</definedName>
    <definedName name="총토탈2">#REF!</definedName>
    <definedName name="측량">#REF!</definedName>
    <definedName name="ㅋ">#REF!</definedName>
    <definedName name="코드명">#REF!</definedName>
    <definedName name="코드입력">#REF!</definedName>
    <definedName name="콘">#REF!</definedName>
    <definedName name="콘_크_리_트_진_동_기">#REF!</definedName>
    <definedName name="콘크리트공">#REF!</definedName>
    <definedName name="큐">#REF!</definedName>
    <definedName name="타일A소계">#REF!</definedName>
    <definedName name="타일B소계">#REF!</definedName>
    <definedName name="타일경비">#REF!</definedName>
    <definedName name="타일공">#REF!</definedName>
    <definedName name="타일공과잡비">#REF!</definedName>
    <definedName name="타일공사">#REF!</definedName>
    <definedName name="타일노무">#REF!</definedName>
    <definedName name="타일재료">#REF!</definedName>
    <definedName name="터2">#REF!</definedName>
    <definedName name="터3">#REF!</definedName>
    <definedName name="터라기2">#REF!</definedName>
    <definedName name="터파기1">#REF!</definedName>
    <definedName name="터파기2">#REF!</definedName>
    <definedName name="터파기고">#REF!</definedName>
    <definedName name="토">#REF!</definedName>
    <definedName name="토공">#REF!</definedName>
    <definedName name="토공경비">#REF!</definedName>
    <definedName name="토공노무">#REF!</definedName>
    <definedName name="토공사">#REF!</definedName>
    <definedName name="토공재료">#REF!</definedName>
    <definedName name="토목">#REF!</definedName>
    <definedName name="토목내역">#REF!</definedName>
    <definedName name="토목내역서2">#REF!</definedName>
    <definedName name="퇴직">#REF!</definedName>
    <definedName name="특고압">#REF!</definedName>
    <definedName name="특급기술자">#REF!</definedName>
    <definedName name="특별인부">#REF!</definedName>
    <definedName name="팻스">#REF!</definedName>
    <definedName name="포장">#REF!</definedName>
    <definedName name="포장1">#REF!</definedName>
    <definedName name="포장공">#REF!</definedName>
    <definedName name="표준">#REF!</definedName>
    <definedName name="표준일위">#REF!</definedName>
    <definedName name="표지">#REF!</definedName>
    <definedName name="표지1">#REF!</definedName>
    <definedName name="표지2" hidden="1">#REF!</definedName>
    <definedName name="표지3">#REF!</definedName>
    <definedName name="품명">#REF!</definedName>
    <definedName name="품셈계">#REF!</definedName>
    <definedName name="플랜트전공">#REF!</definedName>
    <definedName name="ㅎ115">#REF!</definedName>
    <definedName name="ㅎ143">#REF!</definedName>
    <definedName name="ㅎ246">#REF!</definedName>
    <definedName name="ㅎ384">#REF!</definedName>
    <definedName name="ㅎ605">#REF!</definedName>
    <definedName name="ㅎ662">#REF!</definedName>
    <definedName name="ㅎ940">#REF!</definedName>
    <definedName name="하기경">#REF!</definedName>
    <definedName name="하기노">#REF!</definedName>
    <definedName name="하기재">#REF!</definedName>
    <definedName name="하복경">#REF!</definedName>
    <definedName name="하복노">#REF!</definedName>
    <definedName name="하복재">#REF!</definedName>
    <definedName name="하상경">#REF!</definedName>
    <definedName name="하상노">#REF!</definedName>
    <definedName name="하상재">#REF!</definedName>
    <definedName name="하아경">#REF!</definedName>
    <definedName name="하아노">#REF!</definedName>
    <definedName name="하아재">#REF!</definedName>
    <definedName name="하지경">#REF!</definedName>
    <definedName name="하지노">#REF!</definedName>
    <definedName name="하지재">#REF!</definedName>
    <definedName name="한전수탁비">#REF!</definedName>
    <definedName name="합계">#REF!</definedName>
    <definedName name="해체">#REF!</definedName>
    <definedName name="현장계기">#REF!</definedName>
    <definedName name="형틀목공">#REF!</definedName>
    <definedName name="회차별기성">#REF!</definedName>
    <definedName name="후후">#REF!</definedName>
    <definedName name="ㅏ아멍">#REF!</definedName>
    <definedName name="ㅑㅍ">#REF!</definedName>
    <definedName name="ㅓㅓㅓ">#REF!</definedName>
    <definedName name="ㅔ">#REF!</definedName>
    <definedName name="ㅗ1019">#REF!</definedName>
    <definedName name="ㅜ1574">#REF!</definedName>
    <definedName name="ㅜ894">#REF!</definedName>
    <definedName name="ㅜㄴㄱ">#REF!</definedName>
    <definedName name="ㅠㄺㄴ">#REF!</definedName>
    <definedName name="ㅣㅣㅣ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4" i="1" l="1"/>
  <c r="M84" i="1"/>
  <c r="L84" i="1"/>
  <c r="N83" i="1"/>
  <c r="M83" i="1"/>
  <c r="L83" i="1"/>
  <c r="D42" i="11"/>
  <c r="D41" i="11"/>
  <c r="D61" i="11"/>
  <c r="D60" i="11"/>
  <c r="N137" i="1"/>
  <c r="E30" i="3" l="1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136" i="1"/>
  <c r="N135" i="1"/>
  <c r="N134" i="1"/>
  <c r="N133" i="1"/>
  <c r="N132" i="1"/>
  <c r="N131" i="1"/>
  <c r="N130" i="1"/>
  <c r="N129" i="1"/>
  <c r="N128" i="1"/>
  <c r="N127" i="1"/>
  <c r="M126" i="1"/>
  <c r="L126" i="1"/>
  <c r="M125" i="1"/>
  <c r="L125" i="1"/>
  <c r="N125" i="1" s="1"/>
  <c r="M124" i="1"/>
  <c r="L124" i="1"/>
  <c r="M123" i="1"/>
  <c r="L123" i="1"/>
  <c r="N123" i="1" s="1"/>
  <c r="M122" i="1"/>
  <c r="N122" i="1" s="1"/>
  <c r="L122" i="1"/>
  <c r="M121" i="1"/>
  <c r="L121" i="1"/>
  <c r="M120" i="1"/>
  <c r="L120" i="1"/>
  <c r="M119" i="1"/>
  <c r="L119" i="1"/>
  <c r="N118" i="1"/>
  <c r="N117" i="1"/>
  <c r="N116" i="1"/>
  <c r="M116" i="1"/>
  <c r="L116" i="1"/>
  <c r="N115" i="1"/>
  <c r="M115" i="1"/>
  <c r="L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6" i="1"/>
  <c r="M46" i="1"/>
  <c r="L46" i="1"/>
  <c r="N45" i="1"/>
  <c r="M45" i="1"/>
  <c r="L45" i="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  <c r="N2" i="1"/>
  <c r="M2" i="1"/>
  <c r="L2" i="1"/>
  <c r="N121" i="1" l="1"/>
  <c r="N126" i="1"/>
  <c r="N119" i="1"/>
  <c r="N124" i="1"/>
  <c r="N120" i="1"/>
</calcChain>
</file>

<file path=xl/sharedStrings.xml><?xml version="1.0" encoding="utf-8"?>
<sst xmlns="http://schemas.openxmlformats.org/spreadsheetml/2006/main" count="1918" uniqueCount="385">
  <si>
    <t>소재</t>
  </si>
  <si>
    <t>유형</t>
  </si>
  <si>
    <t>형태</t>
  </si>
  <si>
    <t>용도</t>
  </si>
  <si>
    <t>경계</t>
  </si>
  <si>
    <t>욕실폭</t>
  </si>
  <si>
    <t>욕실길이</t>
  </si>
  <si>
    <t>세면부폭</t>
  </si>
  <si>
    <t>세면부길이</t>
  </si>
  <si>
    <t>샤워부폭</t>
  </si>
  <si>
    <t>샤워부길이</t>
  </si>
  <si>
    <t>세면부바닥판 단가</t>
  </si>
  <si>
    <t>샤워부바닥판 단가</t>
  </si>
  <si>
    <t>소계</t>
  </si>
  <si>
    <t>GRP</t>
  </si>
  <si>
    <t>기본형</t>
  </si>
  <si>
    <t>코너형</t>
  </si>
  <si>
    <t>샤워형</t>
  </si>
  <si>
    <t>구분</t>
  </si>
  <si>
    <t>사각형</t>
  </si>
  <si>
    <t>구분없음</t>
  </si>
  <si>
    <t>NaN</t>
  </si>
  <si>
    <t>중앙배수</t>
  </si>
  <si>
    <t>욕조형</t>
  </si>
  <si>
    <t>FRP</t>
  </si>
  <si>
    <t>일체형</t>
  </si>
  <si>
    <t>타일일체형</t>
  </si>
  <si>
    <t>구조</t>
  </si>
  <si>
    <t>욕실공간</t>
  </si>
  <si>
    <t>길이</t>
  </si>
  <si>
    <t>단가</t>
  </si>
  <si>
    <t>세면부</t>
  </si>
  <si>
    <t>판넬/점검구</t>
  </si>
  <si>
    <t>품명</t>
  </si>
  <si>
    <t>폭</t>
  </si>
  <si>
    <t>바디판넬</t>
  </si>
  <si>
    <t>SI-2</t>
  </si>
  <si>
    <t>SI-3</t>
  </si>
  <si>
    <t>SI-4</t>
  </si>
  <si>
    <t>SI-5</t>
  </si>
  <si>
    <t>SI-6</t>
  </si>
  <si>
    <t>SI-7</t>
  </si>
  <si>
    <t>SI-8</t>
  </si>
  <si>
    <t>SI-9</t>
  </si>
  <si>
    <t>SI-10</t>
  </si>
  <si>
    <t>SI-11</t>
  </si>
  <si>
    <t>사이드판넬</t>
  </si>
  <si>
    <t>900a</t>
  </si>
  <si>
    <t>900b</t>
  </si>
  <si>
    <t>점검구</t>
  </si>
  <si>
    <t>variable</t>
  </si>
  <si>
    <t>value</t>
  </si>
  <si>
    <t>프레임단가_15각</t>
  </si>
  <si>
    <t>프레임단가_16각</t>
  </si>
  <si>
    <t>프레임단가_19각</t>
  </si>
  <si>
    <t>P_U단가_15각</t>
  </si>
  <si>
    <t>P_U단가_16각</t>
  </si>
  <si>
    <t>P_U단가_19각</t>
  </si>
  <si>
    <t>조립클립단가</t>
  </si>
  <si>
    <t>설비감가비</t>
  </si>
  <si>
    <t>제조경비_판넬당</t>
  </si>
  <si>
    <t>타일관리비_단가</t>
  </si>
  <si>
    <t>출고_렉입고_단가</t>
  </si>
  <si>
    <t>생산인건비_일단가</t>
  </si>
  <si>
    <t>프레임_LOSS_배수</t>
  </si>
  <si>
    <t>벽체높이_기본_m</t>
  </si>
  <si>
    <t>기준생산량_1_5이하</t>
  </si>
  <si>
    <t>기준생산량_1_51_1_89</t>
  </si>
  <si>
    <t>기준생산량_1_9이상</t>
  </si>
  <si>
    <t>시급_1_5이하</t>
  </si>
  <si>
    <t>시급_1_51_1_89</t>
  </si>
  <si>
    <t>시급_1_9이상</t>
  </si>
  <si>
    <t>도어폭_0_7m</t>
  </si>
  <si>
    <t>도어폭_0_8m</t>
  </si>
  <si>
    <t>컬럼</t>
  </si>
  <si>
    <t>타입</t>
  </si>
  <si>
    <t>단위</t>
  </si>
  <si>
    <t>예시</t>
  </si>
  <si>
    <t>설명</t>
  </si>
  <si>
    <t>string</t>
  </si>
  <si>
    <t>-</t>
  </si>
  <si>
    <t>제품 구조/배수/일체형 구분</t>
  </si>
  <si>
    <t>욕실 형태(코너/사각/욕조 등)</t>
  </si>
  <si>
    <t>적용 구간(세면/샤워/단차없음/샤워형/욕조형 등)</t>
  </si>
  <si>
    <t>int</t>
  </si>
  <si>
    <t>mm</t>
  </si>
  <si>
    <t>KRW</t>
  </si>
  <si>
    <t xml:space="preserve">바닥판 단가   </t>
    <phoneticPr fontId="6" type="noConversion"/>
  </si>
  <si>
    <t>바닥판</t>
    <phoneticPr fontId="6" type="noConversion"/>
  </si>
  <si>
    <t>허용값/예시</t>
  </si>
  <si>
    <t>GRP, FRP</t>
  </si>
  <si>
    <t>바닥판 소재</t>
  </si>
  <si>
    <t>기본형, 중앙배수, 일체형, 타일일체형</t>
  </si>
  <si>
    <t>구조/제품 타입</t>
  </si>
  <si>
    <t>코너형, 사각형</t>
  </si>
  <si>
    <t>욕실 형태</t>
  </si>
  <si>
    <t>샤워형, 욕조형</t>
  </si>
  <si>
    <t>욕실 용도 구분</t>
  </si>
  <si>
    <t>구분, 구분없음</t>
  </si>
  <si>
    <t>전체 욕실 폭</t>
  </si>
  <si>
    <t>전체 욕실 길이</t>
  </si>
  <si>
    <t>int/NaN</t>
  </si>
  <si>
    <t>1300 또는 NaN</t>
  </si>
  <si>
    <t>경계=구분일 때만 채움</t>
  </si>
  <si>
    <t>1400 또는 NaN</t>
  </si>
  <si>
    <t>900 또는 NaN</t>
  </si>
  <si>
    <t>700 또는 NaN</t>
  </si>
  <si>
    <t>51610 또는 NaN</t>
  </si>
  <si>
    <t>세면부 바닥판 단가(원)</t>
  </si>
  <si>
    <t>20666 또는 NaN</t>
  </si>
  <si>
    <t>샤워부 바닥판 단가(원)</t>
  </si>
  <si>
    <t>최종 합계 단가(원)</t>
  </si>
  <si>
    <t>컬럼</t>
    <phoneticPr fontId="6" type="noConversion"/>
  </si>
  <si>
    <t>설명</t>
    <phoneticPr fontId="6" type="noConversion"/>
  </si>
  <si>
    <t>천장판</t>
    <phoneticPr fontId="6" type="noConversion"/>
  </si>
  <si>
    <t>컬럼명</t>
  </si>
  <si>
    <t>품목(카테고리) 구분(바디판넬/사이드판넬/점검구)</t>
  </si>
  <si>
    <t>카탈로그 품번/규격 코드(예: SI-2, 900a, 1100 등)</t>
  </si>
  <si>
    <t>폭(가로) 치수</t>
  </si>
  <si>
    <t>길이(세로) 치수</t>
  </si>
  <si>
    <t>품목 1개 기준 단가(원). 쉼표/공백이 있으면 제거 후 정수 변환 권장</t>
  </si>
  <si>
    <t>상수 이름(키). 코드에서 이 문자열로 값을 조회함</t>
  </si>
  <si>
    <t>number</t>
  </si>
  <si>
    <t>(변수별 상이)</t>
  </si>
  <si>
    <r>
      <t xml:space="preserve">상수 값. 단위는 변수 의미에 따라 다르며, 가능하면 별도 </t>
    </r>
    <r>
      <rPr>
        <sz val="10"/>
        <color theme="1"/>
        <rFont val="Arial Unicode MS"/>
        <family val="2"/>
      </rPr>
      <t>unit</t>
    </r>
    <r>
      <rPr>
        <sz val="11"/>
        <color theme="1"/>
        <rFont val="Aptos Narrow"/>
        <family val="2"/>
        <scheme val="minor"/>
      </rPr>
      <t xml:space="preserve"> 컬럼 추가 권장</t>
    </r>
  </si>
  <si>
    <t>벽판</t>
    <phoneticPr fontId="6" type="noConversion"/>
  </si>
  <si>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소재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구분</t>
    </r>
    <r>
      <rPr>
        <sz val="11"/>
        <color theme="1"/>
        <rFont val="Aptos Narrow"/>
        <family val="2"/>
        <scheme val="minor"/>
      </rPr>
      <t>(GRP/FRP)</t>
    </r>
    <r>
      <rPr>
        <sz val="11"/>
        <color theme="1"/>
        <rFont val="Aptos Narrow"/>
        <family val="3"/>
        <charset val="129"/>
        <scheme val="minor"/>
      </rPr>
      <t>. PVE</t>
    </r>
    <r>
      <rPr>
        <sz val="11"/>
        <color theme="1"/>
        <rFont val="맑은 고딕"/>
        <family val="3"/>
        <charset val="129"/>
      </rPr>
      <t xml:space="preserve">는 </t>
    </r>
    <r>
      <rPr>
        <sz val="11"/>
        <color theme="1"/>
        <rFont val="Aptos Narrow"/>
        <family val="3"/>
        <charset val="129"/>
        <scheme val="minor"/>
      </rPr>
      <t>GRP/FRP</t>
    </r>
    <r>
      <rPr>
        <sz val="11"/>
        <color theme="1"/>
        <rFont val="맑은 고딕"/>
        <family val="3"/>
        <charset val="129"/>
      </rPr>
      <t>가 아닌 경우에 선택하게 됨</t>
    </r>
    <phoneticPr fontId="6" type="noConversion"/>
  </si>
  <si>
    <t>일반형</t>
    <phoneticPr fontId="6" type="noConversion"/>
  </si>
  <si>
    <t>욕실선반형</t>
    <phoneticPr fontId="6" type="noConversion"/>
  </si>
  <si>
    <r>
      <t xml:space="preserve">PVE </t>
    </r>
    <r>
      <rPr>
        <sz val="11"/>
        <color theme="1"/>
        <rFont val="맑은 고딕"/>
        <family val="3"/>
        <charset val="129"/>
      </rPr>
      <t>욕실 유형</t>
    </r>
    <phoneticPr fontId="6" type="noConversion"/>
  </si>
  <si>
    <t>원재료비</t>
    <phoneticPr fontId="6" type="noConversion"/>
  </si>
  <si>
    <t>가공비</t>
    <phoneticPr fontId="6" type="noConversion"/>
  </si>
  <si>
    <t>품목</t>
  </si>
  <si>
    <t>비고</t>
  </si>
  <si>
    <t>환풍기홀</t>
  </si>
  <si>
    <t>2인 15EA/시간(1개)</t>
  </si>
  <si>
    <t>사각매립등</t>
  </si>
  <si>
    <t>원형등</t>
  </si>
  <si>
    <t>2인 35EA/시간(1개)</t>
  </si>
  <si>
    <t>직선1회</t>
  </si>
  <si>
    <t>2인 40EA/시간</t>
  </si>
  <si>
    <t>분류</t>
  </si>
  <si>
    <t>사양 및 규격</t>
  </si>
  <si>
    <t>수량</t>
  </si>
  <si>
    <t>바닥판</t>
  </si>
  <si>
    <t>GRP부재료</t>
  </si>
  <si>
    <t>철판평자</t>
  </si>
  <si>
    <t>철판ㄱ자</t>
  </si>
  <si>
    <t>에폭시본드</t>
  </si>
  <si>
    <t>방수테입</t>
  </si>
  <si>
    <t>기타</t>
  </si>
  <si>
    <t>배수트랩 층하용</t>
  </si>
  <si>
    <t>배수트랩 층상용 1구가지관</t>
  </si>
  <si>
    <t>배수트랩 층상용 2구가지관</t>
  </si>
  <si>
    <t>배수트랩 층상용 3구가지관</t>
  </si>
  <si>
    <t>모래</t>
  </si>
  <si>
    <t>시멘트</t>
  </si>
  <si>
    <t>PP/PE 부재료</t>
  </si>
  <si>
    <t>습식용 배수트랩 층하용</t>
  </si>
  <si>
    <t>습식용 배수트랩 층상용 1구가지관</t>
  </si>
  <si>
    <t>습식용 배수트랩 층상용 2구가지관</t>
  </si>
  <si>
    <t>습식용 배수트랩 층상용 3구가지관</t>
  </si>
  <si>
    <t>방통몰탈(레미콘)</t>
  </si>
  <si>
    <t>양변기(오수구)소켓 (Φ100)</t>
  </si>
  <si>
    <t>바닥 배수소켓(Φ50)</t>
  </si>
  <si>
    <t>난방배관 소켓(Φ16)</t>
  </si>
  <si>
    <t>클럽메쉬 세트(클립포함)</t>
  </si>
  <si>
    <t>벽체 코너받침대</t>
  </si>
  <si>
    <t>벽체코너받침대 볼트</t>
  </si>
  <si>
    <t>PVE바닥판 소켓 받침대</t>
  </si>
  <si>
    <t>압착시멘트</t>
  </si>
  <si>
    <t>떠발이 몰탈</t>
  </si>
  <si>
    <t>심패드</t>
  </si>
  <si>
    <t>벽판</t>
  </si>
  <si>
    <t>PU타일 벽체</t>
  </si>
  <si>
    <t>PU벽판</t>
  </si>
  <si>
    <t>타일</t>
  </si>
  <si>
    <t>PU타일 벽체 타일</t>
  </si>
  <si>
    <t>냉온수배관</t>
  </si>
  <si>
    <t>PB 독립배관</t>
  </si>
  <si>
    <t>PB 세대 세트 배관</t>
  </si>
  <si>
    <t>바닥타일</t>
  </si>
  <si>
    <t>천장판</t>
  </si>
  <si>
    <t>GRP천장판</t>
  </si>
  <si>
    <t>ABS</t>
  </si>
  <si>
    <t>문세트</t>
  </si>
  <si>
    <t>PVC</t>
  </si>
  <si>
    <t>PVC 4방틀 (130 ~ 230바)</t>
  </si>
  <si>
    <t>ABS 문짝</t>
  </si>
  <si>
    <t>하드웨어</t>
  </si>
  <si>
    <t>도어락</t>
  </si>
  <si>
    <t>경첩</t>
  </si>
  <si>
    <t>도어스토퍼</t>
  </si>
  <si>
    <t>문틀</t>
  </si>
  <si>
    <t>문틀규격</t>
  </si>
  <si>
    <t>110m/m</t>
  </si>
  <si>
    <t>130m/m</t>
  </si>
  <si>
    <t>140m/m</t>
  </si>
  <si>
    <t>155m/m</t>
  </si>
  <si>
    <t>175m/m</t>
  </si>
  <si>
    <t>195m/m</t>
  </si>
  <si>
    <t>210m/m</t>
  </si>
  <si>
    <t>230m/m</t>
  </si>
  <si>
    <t>문틀부자재</t>
  </si>
  <si>
    <t>하부씰</t>
  </si>
  <si>
    <t>문틀 받침대</t>
  </si>
  <si>
    <t>문짝</t>
  </si>
  <si>
    <t>포켓도어</t>
  </si>
  <si>
    <t>목창호</t>
  </si>
  <si>
    <t>가틀</t>
  </si>
  <si>
    <t>본틀</t>
  </si>
  <si>
    <t>레일, 댐퍼, 손잡이</t>
  </si>
  <si>
    <t>도기류</t>
  </si>
  <si>
    <t>양변기</t>
  </si>
  <si>
    <t>긴다리 세면기(원홀)</t>
  </si>
  <si>
    <t>반다리 세면기(원홀)</t>
  </si>
  <si>
    <t>반다리 세면기 부재료</t>
  </si>
  <si>
    <t>벽배수 배관</t>
  </si>
  <si>
    <t>세면기 고정 볼트세트</t>
  </si>
  <si>
    <t>수전</t>
  </si>
  <si>
    <t>레인 샤워수전</t>
  </si>
  <si>
    <t>선반형 레인 샤워수전</t>
  </si>
  <si>
    <t>청소건</t>
  </si>
  <si>
    <t>세탁기 수전</t>
  </si>
  <si>
    <t>욕실장</t>
  </si>
  <si>
    <t>PS장(600*900)</t>
  </si>
  <si>
    <t>은경</t>
  </si>
  <si>
    <t>액세서리</t>
  </si>
  <si>
    <t>매립형 휴지걸이</t>
  </si>
  <si>
    <t>청소솔</t>
  </si>
  <si>
    <t>2단 수건선반</t>
  </si>
  <si>
    <t>주거약자</t>
  </si>
  <si>
    <t>매립형 휴지걸이(비상폰)</t>
  </si>
  <si>
    <t>L형 손잡이</t>
  </si>
  <si>
    <t>ㅡ형 손잡이</t>
  </si>
  <si>
    <t>접의식 의자</t>
  </si>
  <si>
    <t>칸막이</t>
  </si>
  <si>
    <t>샤워부스 칸막이</t>
  </si>
  <si>
    <t>샤워파티션 칸막이</t>
  </si>
  <si>
    <t>욕실등</t>
  </si>
  <si>
    <t>욕조</t>
  </si>
  <si>
    <t>SQ욕조</t>
  </si>
  <si>
    <t>환기류</t>
  </si>
  <si>
    <t>공통자재</t>
  </si>
  <si>
    <t>백시멘트</t>
  </si>
  <si>
    <t>욕실등, 콘센트 내함</t>
  </si>
  <si>
    <t>휴지걸이 내함</t>
  </si>
  <si>
    <t>실리콘(내항균성)</t>
  </si>
  <si>
    <t>실리콘(외장용)</t>
  </si>
  <si>
    <t>코너비드</t>
  </si>
  <si>
    <t>코너마감재</t>
  </si>
  <si>
    <t>타일 평탄클립</t>
  </si>
  <si>
    <t>우레탄폼</t>
  </si>
  <si>
    <t>PVC보온재</t>
  </si>
  <si>
    <t>바닥타일 보양</t>
  </si>
  <si>
    <t>바닥타일 보양테이프</t>
  </si>
  <si>
    <t>이면지지클립</t>
  </si>
  <si>
    <t>재료분리대(SUS)</t>
  </si>
  <si>
    <r>
      <t>Sungil DB</t>
    </r>
    <r>
      <rPr>
        <sz val="11"/>
        <color theme="1"/>
        <rFont val="맑은 고딕"/>
        <family val="3"/>
        <charset val="129"/>
      </rPr>
      <t xml:space="preserve">는 바닥판 원가, 천장판 원가 등을 담은 8개의 </t>
    </r>
    <r>
      <rPr>
        <sz val="11"/>
        <color theme="1"/>
        <rFont val="Aptos Narrow"/>
        <family val="3"/>
      </rPr>
      <t>sheet</t>
    </r>
    <r>
      <rPr>
        <sz val="11"/>
        <color theme="1"/>
        <rFont val="맑은 고딕"/>
        <family val="3"/>
        <charset val="129"/>
      </rPr>
      <t xml:space="preserve">로 구성되어 있음. </t>
    </r>
    <phoneticPr fontId="6" type="noConversion"/>
  </si>
  <si>
    <r>
      <rPr>
        <b/>
        <sz val="11"/>
        <color theme="1"/>
        <rFont val="맑은 고딕"/>
        <family val="3"/>
        <charset val="129"/>
      </rPr>
      <t>바닥판단가</t>
    </r>
    <r>
      <rPr>
        <b/>
        <sz val="11"/>
        <color theme="1"/>
        <rFont val="Aptos Narrow"/>
        <family val="2"/>
        <scheme val="minor"/>
      </rPr>
      <t xml:space="preserve"> (</t>
    </r>
    <r>
      <rPr>
        <b/>
        <sz val="11"/>
        <color theme="1"/>
        <rFont val="맑은 고딕"/>
        <family val="3"/>
        <charset val="129"/>
      </rPr>
      <t>바닥판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단가</t>
    </r>
    <r>
      <rPr>
        <b/>
        <sz val="11"/>
        <color theme="1"/>
        <rFont val="Aptos Narrow"/>
        <family val="2"/>
        <scheme val="minor"/>
      </rPr>
      <t xml:space="preserve"> “</t>
    </r>
    <r>
      <rPr>
        <b/>
        <sz val="11"/>
        <color theme="1"/>
        <rFont val="맑은 고딕"/>
        <family val="3"/>
        <charset val="129"/>
      </rPr>
      <t>기준표</t>
    </r>
    <r>
      <rPr>
        <b/>
        <sz val="11"/>
        <color theme="1"/>
        <rFont val="Aptos Narrow"/>
        <family val="2"/>
        <scheme val="minor"/>
      </rPr>
      <t>/</t>
    </r>
    <r>
      <rPr>
        <b/>
        <sz val="11"/>
        <color theme="1"/>
        <rFont val="맑은 고딕"/>
        <family val="3"/>
        <charset val="129"/>
      </rPr>
      <t>룩업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테이블”</t>
    </r>
    <r>
      <rPr>
        <b/>
        <sz val="11"/>
        <color theme="1"/>
        <rFont val="Aptos Narrow"/>
        <family val="2"/>
        <scheme val="minor"/>
      </rPr>
      <t>)</t>
    </r>
    <phoneticPr fontId="6" type="noConversion"/>
  </si>
  <si>
    <t>주요 컬럼: 소재, 구조, 형태, 욕실공간, 폭, 길이, 단가, 비고</t>
  </si>
  <si>
    <r>
      <rPr>
        <sz val="11"/>
        <color theme="1"/>
        <rFont val="맑은 고딕"/>
        <family val="3"/>
        <charset val="129"/>
      </rPr>
      <t>용도</t>
    </r>
    <r>
      <rPr>
        <sz val="11"/>
        <color theme="1"/>
        <rFont val="Aptos Narrow"/>
        <family val="2"/>
        <scheme val="minor"/>
      </rPr>
      <t xml:space="preserve">: </t>
    </r>
    <r>
      <rPr>
        <sz val="11"/>
        <color theme="1"/>
        <rFont val="맑은 고딕"/>
        <family val="3"/>
        <charset val="129"/>
      </rPr>
      <t>코드에서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보통</t>
    </r>
    <r>
      <rPr>
        <sz val="11"/>
        <color theme="1"/>
        <rFont val="Aptos Narrow"/>
        <family val="2"/>
        <scheme val="minor"/>
      </rPr>
      <t xml:space="preserve"> **(</t>
    </r>
    <r>
      <rPr>
        <sz val="11"/>
        <color theme="1"/>
        <rFont val="맑은 고딕"/>
        <family val="3"/>
        <charset val="129"/>
      </rPr>
      <t>소재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구조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형태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공간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폭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길이</t>
    </r>
    <r>
      <rPr>
        <sz val="11"/>
        <color theme="1"/>
        <rFont val="Aptos Narrow"/>
        <family val="2"/>
        <scheme val="minor"/>
      </rPr>
      <t>)**</t>
    </r>
    <r>
      <rPr>
        <sz val="11"/>
        <color theme="1"/>
        <rFont val="맑은 고딕"/>
        <family val="3"/>
        <charset val="129"/>
      </rPr>
      <t>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매칭해서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단가를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가져옮.</t>
    </r>
    <phoneticPr fontId="6" type="noConversion"/>
  </si>
  <si>
    <r>
      <t>바닥판</t>
    </r>
    <r>
      <rPr>
        <sz val="11"/>
        <color theme="1"/>
        <rFont val="Aptos Narrow"/>
        <family val="2"/>
        <scheme val="minor"/>
      </rPr>
      <t xml:space="preserve"> (</t>
    </r>
    <r>
      <rPr>
        <sz val="11"/>
        <color theme="1"/>
        <rFont val="Aptos Narrow"/>
        <family val="3"/>
        <charset val="129"/>
        <scheme val="minor"/>
      </rPr>
      <t>욕실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규격별</t>
    </r>
    <r>
      <rPr>
        <sz val="11"/>
        <color theme="1"/>
        <rFont val="Aptos Narrow"/>
        <family val="2"/>
        <scheme val="minor"/>
      </rPr>
      <t xml:space="preserve"> “</t>
    </r>
    <r>
      <rPr>
        <sz val="11"/>
        <color theme="1"/>
        <rFont val="Aptos Narrow"/>
        <family val="3"/>
        <charset val="129"/>
        <scheme val="minor"/>
      </rPr>
      <t>조합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완성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단가표</t>
    </r>
    <r>
      <rPr>
        <sz val="11"/>
        <color theme="1"/>
        <rFont val="Aptos Narrow"/>
        <family val="2"/>
        <scheme val="minor"/>
      </rPr>
      <t>”)</t>
    </r>
  </si>
  <si>
    <r>
      <t>바닥판단가를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바탕으로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욕실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입력조건</t>
    </r>
    <r>
      <rPr>
        <sz val="11"/>
        <color theme="1"/>
        <rFont val="Aptos Narrow"/>
        <family val="2"/>
        <scheme val="minor"/>
      </rPr>
      <t>(</t>
    </r>
    <r>
      <rPr>
        <sz val="11"/>
        <color theme="1"/>
        <rFont val="Aptos Narrow"/>
        <family val="3"/>
        <charset val="129"/>
        <scheme val="minor"/>
      </rPr>
      <t>욕실폭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길이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세면부</t>
    </r>
    <r>
      <rPr>
        <sz val="11"/>
        <color theme="1"/>
        <rFont val="Aptos Narrow"/>
        <family val="2"/>
        <scheme val="minor"/>
      </rPr>
      <t>·</t>
    </r>
    <r>
      <rPr>
        <sz val="11"/>
        <color theme="1"/>
        <rFont val="Aptos Narrow"/>
        <family val="3"/>
        <charset val="129"/>
        <scheme val="minor"/>
      </rPr>
      <t>샤워부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폭</t>
    </r>
    <r>
      <rPr>
        <sz val="11"/>
        <color theme="1"/>
        <rFont val="Aptos Narrow"/>
        <family val="2"/>
        <scheme val="minor"/>
      </rPr>
      <t>·</t>
    </r>
    <r>
      <rPr>
        <sz val="11"/>
        <color theme="1"/>
        <rFont val="Aptos Narrow"/>
        <family val="3"/>
        <charset val="129"/>
        <scheme val="minor"/>
      </rPr>
      <t>길이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등</t>
    </r>
    <r>
      <rPr>
        <sz val="11"/>
        <color theme="1"/>
        <rFont val="Aptos Narrow"/>
        <family val="2"/>
        <scheme val="minor"/>
      </rPr>
      <t>)</t>
    </r>
    <r>
      <rPr>
        <sz val="11"/>
        <color theme="1"/>
        <rFont val="Aptos Narrow"/>
        <family val="3"/>
        <charset val="129"/>
        <scheme val="minor"/>
      </rPr>
      <t>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따라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세면부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단가</t>
    </r>
    <r>
      <rPr>
        <sz val="11"/>
        <color theme="1"/>
        <rFont val="Aptos Narrow"/>
        <family val="2"/>
        <scheme val="minor"/>
      </rPr>
      <t xml:space="preserve"> + </t>
    </r>
    <r>
      <rPr>
        <sz val="11"/>
        <color theme="1"/>
        <rFont val="Aptos Narrow"/>
        <family val="3"/>
        <charset val="129"/>
        <scheme val="minor"/>
      </rPr>
      <t>샤워부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단가</t>
    </r>
    <r>
      <rPr>
        <sz val="11"/>
        <color theme="1"/>
        <rFont val="Aptos Narrow"/>
        <family val="2"/>
        <scheme val="minor"/>
      </rPr>
      <t xml:space="preserve"> = </t>
    </r>
    <r>
      <rPr>
        <sz val="11"/>
        <color theme="1"/>
        <rFont val="Aptos Narrow"/>
        <family val="3"/>
        <charset val="129"/>
        <scheme val="minor"/>
      </rPr>
      <t>소계가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계산되어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정리된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표</t>
    </r>
  </si>
  <si>
    <r>
      <rPr>
        <sz val="11"/>
        <color theme="1"/>
        <rFont val="맑은 고딕"/>
        <family val="3"/>
        <charset val="129"/>
      </rPr>
      <t>단가</t>
    </r>
    <r>
      <rPr>
        <sz val="11"/>
        <color theme="1"/>
        <rFont val="Aptos Narrow"/>
        <family val="2"/>
        <scheme val="minor"/>
      </rPr>
      <t>(</t>
    </r>
    <r>
      <rPr>
        <sz val="11"/>
        <color theme="1"/>
        <rFont val="맑은 고딕"/>
        <family val="3"/>
        <charset val="129"/>
      </rPr>
      <t>원</t>
    </r>
    <r>
      <rPr>
        <sz val="11"/>
        <color theme="1"/>
        <rFont val="Aptos Narrow"/>
        <family val="2"/>
        <scheme val="minor"/>
      </rPr>
      <t xml:space="preserve">). </t>
    </r>
    <phoneticPr fontId="6" type="noConversion"/>
  </si>
  <si>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폭</t>
    </r>
    <phoneticPr fontId="6" type="noConversion"/>
  </si>
  <si>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길이</t>
    </r>
    <phoneticPr fontId="6" type="noConversion"/>
  </si>
  <si>
    <r>
      <t>특징</t>
    </r>
    <r>
      <rPr>
        <sz val="11"/>
        <color theme="1"/>
        <rFont val="Aptos Narrow"/>
        <family val="2"/>
        <scheme val="minor"/>
      </rPr>
      <t xml:space="preserve">: </t>
    </r>
    <r>
      <rPr>
        <sz val="11"/>
        <color theme="1"/>
        <rFont val="Aptos Narrow"/>
        <family val="3"/>
        <charset val="129"/>
        <scheme val="minor"/>
      </rPr>
      <t>소재는</t>
    </r>
    <r>
      <rPr>
        <sz val="11"/>
        <color theme="1"/>
        <rFont val="Aptos Narrow"/>
        <family val="2"/>
        <scheme val="minor"/>
      </rPr>
      <t xml:space="preserve"> GRP/FRP, </t>
    </r>
    <r>
      <rPr>
        <sz val="11"/>
        <color theme="1"/>
        <rFont val="Aptos Narrow"/>
        <family val="3"/>
        <charset val="129"/>
        <scheme val="minor"/>
      </rPr>
      <t>유형은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기본형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중앙배수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일체형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타일일체형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형태는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사각형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코너형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용도는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샤워형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욕조형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경계는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구분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구분없음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값이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있음</t>
    </r>
    <r>
      <rPr>
        <sz val="11"/>
        <color theme="1"/>
        <rFont val="Aptos Narrow"/>
        <family val="2"/>
        <scheme val="minor"/>
      </rPr>
      <t xml:space="preserve"> </t>
    </r>
  </si>
  <si>
    <r>
      <rPr>
        <sz val="11"/>
        <color theme="1"/>
        <rFont val="맑은 고딕"/>
        <family val="3"/>
        <charset val="129"/>
      </rPr>
      <t>세면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샤워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구분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여부</t>
    </r>
    <phoneticPr fontId="6" type="noConversion"/>
  </si>
  <si>
    <r>
      <rPr>
        <sz val="11"/>
        <color theme="1"/>
        <rFont val="맑은 고딕"/>
        <family val="3"/>
        <charset val="129"/>
      </rPr>
      <t>경계</t>
    </r>
    <r>
      <rPr>
        <sz val="11"/>
        <color theme="1"/>
        <rFont val="Aptos Narrow"/>
        <family val="2"/>
        <scheme val="minor"/>
      </rPr>
      <t>=</t>
    </r>
    <r>
      <rPr>
        <sz val="11"/>
        <color theme="1"/>
        <rFont val="맑은 고딕"/>
        <family val="3"/>
        <charset val="129"/>
      </rPr>
      <t>구분일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때만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채움</t>
    </r>
    <r>
      <rPr>
        <sz val="11"/>
        <color theme="1"/>
        <rFont val="Aptos Narrow"/>
        <family val="3"/>
        <charset val="129"/>
        <scheme val="minor"/>
      </rPr>
      <t>, NaN</t>
    </r>
    <r>
      <rPr>
        <sz val="11"/>
        <color theme="1"/>
        <rFont val="맑은 고딕"/>
        <family val="3"/>
        <charset val="129"/>
      </rPr>
      <t xml:space="preserve">은 결측치 </t>
    </r>
    <phoneticPr fontId="6" type="noConversion"/>
  </si>
  <si>
    <t>PVE</t>
    <phoneticPr fontId="6" type="noConversion"/>
  </si>
  <si>
    <r>
      <rPr>
        <sz val="11"/>
        <color theme="1"/>
        <rFont val="Aptos Narrow"/>
        <family val="3"/>
      </rPr>
      <t xml:space="preserve">PVE </t>
    </r>
    <r>
      <rPr>
        <sz val="11"/>
        <color theme="1"/>
        <rFont val="맑은 고딕"/>
        <family val="3"/>
        <charset val="129"/>
      </rPr>
      <t>욕실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유형</t>
    </r>
    <phoneticPr fontId="6" type="noConversion"/>
  </si>
  <si>
    <t>int</t>
    <phoneticPr fontId="6" type="noConversion"/>
  </si>
  <si>
    <t>KRW</t>
    <phoneticPr fontId="6" type="noConversion"/>
  </si>
  <si>
    <t>가공비</t>
  </si>
  <si>
    <r>
      <t xml:space="preserve">㎡당 </t>
    </r>
    <r>
      <rPr>
        <b/>
        <sz val="11"/>
        <color theme="1"/>
        <rFont val="Aptos Narrow"/>
        <family val="2"/>
        <scheme val="minor"/>
      </rPr>
      <t>12,000원</t>
    </r>
  </si>
  <si>
    <r>
      <t>일반형 24,331원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욕실선반형 31,159원</t>
    </r>
  </si>
  <si>
    <r>
      <t xml:space="preserve">PVE </t>
    </r>
    <r>
      <rPr>
        <sz val="11"/>
        <color theme="1"/>
        <rFont val="맑은 고딕"/>
        <family val="3"/>
        <charset val="129"/>
      </rPr>
      <t>욕실유형은 일반형과 욕실선반형 2가지가 있음</t>
    </r>
    <phoneticPr fontId="6" type="noConversion"/>
  </si>
  <si>
    <r>
      <t xml:space="preserve">바닥판 소재가 PVE로 결정될 때 쓰는 </t>
    </r>
    <r>
      <rPr>
        <b/>
        <sz val="11"/>
        <color theme="1"/>
        <rFont val="Aptos Narrow"/>
        <family val="2"/>
        <scheme val="minor"/>
      </rPr>
      <t>PVE 전용 비용</t>
    </r>
  </si>
  <si>
    <r>
      <rPr>
        <sz val="11"/>
        <color theme="1"/>
        <rFont val="맑은 고딕"/>
        <family val="3"/>
        <charset val="129"/>
      </rPr>
      <t>천장판</t>
    </r>
    <r>
      <rPr>
        <sz val="11"/>
        <color theme="1"/>
        <rFont val="Aptos Narrow"/>
        <family val="2"/>
        <scheme val="minor"/>
      </rPr>
      <t xml:space="preserve"> (</t>
    </r>
    <r>
      <rPr>
        <sz val="11"/>
        <color theme="1"/>
        <rFont val="맑은 고딕"/>
        <family val="3"/>
        <charset val="129"/>
      </rPr>
      <t>천장판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카탈로그</t>
    </r>
    <r>
      <rPr>
        <sz val="11"/>
        <color theme="1"/>
        <rFont val="Aptos Narrow"/>
        <family val="2"/>
        <scheme val="minor"/>
      </rPr>
      <t xml:space="preserve">: </t>
    </r>
    <r>
      <rPr>
        <sz val="11"/>
        <color theme="1"/>
        <rFont val="맑은 고딕"/>
        <family val="3"/>
        <charset val="129"/>
      </rPr>
      <t>바디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사이드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점검구</t>
    </r>
    <r>
      <rPr>
        <sz val="11"/>
        <color theme="1"/>
        <rFont val="Aptos Narrow"/>
        <family val="2"/>
        <scheme val="minor"/>
      </rPr>
      <t>)</t>
    </r>
    <phoneticPr fontId="6" type="noConversion"/>
  </si>
  <si>
    <r>
      <rPr>
        <sz val="11"/>
        <color theme="1"/>
        <rFont val="맑은 고딕"/>
        <family val="3"/>
        <charset val="129"/>
      </rPr>
      <t>용도</t>
    </r>
    <r>
      <rPr>
        <sz val="11"/>
        <color theme="1"/>
        <rFont val="Aptos Narrow"/>
        <family val="3"/>
        <charset val="129"/>
        <scheme val="minor"/>
      </rPr>
      <t xml:space="preserve">: </t>
    </r>
    <r>
      <rPr>
        <sz val="11"/>
        <color theme="1"/>
        <rFont val="맑은 고딕"/>
        <family val="3"/>
        <charset val="129"/>
      </rPr>
      <t>천장판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조합</t>
    </r>
    <r>
      <rPr>
        <sz val="11"/>
        <color theme="1"/>
        <rFont val="Aptos Narrow"/>
        <family val="3"/>
        <charset val="129"/>
        <scheme val="minor"/>
      </rPr>
      <t>/</t>
    </r>
    <r>
      <rPr>
        <sz val="11"/>
        <color theme="1"/>
        <rFont val="맑은 고딕"/>
        <family val="3"/>
        <charset val="129"/>
      </rPr>
      <t>매칭</t>
    </r>
    <r>
      <rPr>
        <sz val="11"/>
        <color theme="1"/>
        <rFont val="Aptos Narrow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</rPr>
      <t>바디판넬</t>
    </r>
    <r>
      <rPr>
        <sz val="11"/>
        <color theme="1"/>
        <rFont val="Aptos Narrow"/>
        <family val="3"/>
        <charset val="129"/>
        <scheme val="minor"/>
      </rPr>
      <t xml:space="preserve">, </t>
    </r>
    <r>
      <rPr>
        <sz val="11"/>
        <color theme="1"/>
        <rFont val="맑은 고딕"/>
        <family val="3"/>
        <charset val="129"/>
      </rPr>
      <t>사이드판넬</t>
    </r>
    <r>
      <rPr>
        <sz val="11"/>
        <color theme="1"/>
        <rFont val="Aptos Narrow"/>
        <family val="3"/>
        <charset val="129"/>
        <scheme val="minor"/>
      </rPr>
      <t xml:space="preserve">, </t>
    </r>
    <r>
      <rPr>
        <sz val="11"/>
        <color theme="1"/>
        <rFont val="맑은 고딕"/>
        <family val="3"/>
        <charset val="129"/>
      </rPr>
      <t>점검구</t>
    </r>
    <r>
      <rPr>
        <sz val="11"/>
        <color theme="1"/>
        <rFont val="Aptos Narrow"/>
        <family val="3"/>
        <charset val="129"/>
        <scheme val="minor"/>
      </rPr>
      <t xml:space="preserve">) </t>
    </r>
    <r>
      <rPr>
        <sz val="11"/>
        <color theme="1"/>
        <rFont val="맑은 고딕"/>
        <family val="3"/>
        <charset val="129"/>
      </rPr>
      <t>선택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시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가격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산정의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기준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데이터</t>
    </r>
    <r>
      <rPr>
        <sz val="11"/>
        <color theme="1"/>
        <rFont val="Aptos Narrow"/>
        <family val="3"/>
        <charset val="129"/>
        <scheme val="minor"/>
      </rPr>
      <t>.</t>
    </r>
    <phoneticPr fontId="6" type="noConversion"/>
  </si>
  <si>
    <r>
      <t xml:space="preserve">벽판 원가 계산에 쓰는 **고정 상수(단가/기준 생산량/시급/LOSS 등)**가 </t>
    </r>
    <r>
      <rPr>
        <sz val="10"/>
        <color theme="1"/>
        <rFont val="Arial Unicode MS"/>
        <family val="2"/>
      </rPr>
      <t>variable-value</t>
    </r>
    <r>
      <rPr>
        <sz val="11"/>
        <color theme="1"/>
        <rFont val="Aptos Narrow"/>
        <family val="2"/>
        <scheme val="minor"/>
      </rPr>
      <t xml:space="preserve"> 형태</t>
    </r>
  </si>
  <si>
    <t>자재단가내역</t>
    <phoneticPr fontId="6" type="noConversion"/>
  </si>
  <si>
    <r>
      <rPr>
        <sz val="11"/>
        <color theme="1"/>
        <rFont val="맑은 고딕"/>
        <family val="3"/>
        <charset val="129"/>
      </rPr>
      <t>욕실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구성품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전반</t>
    </r>
    <r>
      <rPr>
        <sz val="11"/>
        <color theme="1"/>
        <rFont val="Aptos Narrow"/>
        <family val="2"/>
        <scheme val="minor"/>
      </rPr>
      <t>(</t>
    </r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벽판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타일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문틀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도기류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수전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공통자재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Aptos Narrow"/>
        <family val="2"/>
        <scheme val="minor"/>
      </rPr>
      <t>)</t>
    </r>
    <r>
      <rPr>
        <sz val="11"/>
        <color theme="1"/>
        <rFont val="맑은 고딕"/>
        <family val="3"/>
        <charset val="129"/>
      </rPr>
      <t>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자재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단가와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기본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수량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목록</t>
    </r>
    <phoneticPr fontId="6" type="noConversion"/>
  </si>
  <si>
    <r>
      <rPr>
        <sz val="11"/>
        <color theme="1"/>
        <rFont val="맑은 고딕"/>
        <family val="3"/>
        <charset val="129"/>
      </rPr>
      <t>컬럼</t>
    </r>
    <r>
      <rPr>
        <sz val="11"/>
        <color theme="1"/>
        <rFont val="Aptos Narrow"/>
        <family val="2"/>
        <scheme val="minor"/>
      </rPr>
      <t xml:space="preserve">: </t>
    </r>
    <r>
      <rPr>
        <sz val="11"/>
        <color theme="1"/>
        <rFont val="맑은 고딕"/>
        <family val="3"/>
        <charset val="129"/>
      </rPr>
      <t>품목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분류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사양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규격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단가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수량</t>
    </r>
    <phoneticPr fontId="6" type="noConversion"/>
  </si>
  <si>
    <r>
      <rPr>
        <sz val="11"/>
        <color theme="1"/>
        <rFont val="맑은 고딕"/>
        <family val="3"/>
        <charset val="129"/>
      </rPr>
      <t>용도</t>
    </r>
    <r>
      <rPr>
        <sz val="11"/>
        <color theme="1"/>
        <rFont val="Aptos Narrow"/>
        <family val="2"/>
        <scheme val="minor"/>
      </rPr>
      <t>: “</t>
    </r>
    <r>
      <rPr>
        <sz val="11"/>
        <color theme="1"/>
        <rFont val="맑은 고딕"/>
        <family val="3"/>
        <charset val="129"/>
      </rPr>
      <t>기본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자재비”를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합산하거나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옵션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선택에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따라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품목을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추가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제외하는</t>
    </r>
    <r>
      <rPr>
        <sz val="11"/>
        <color theme="1"/>
        <rFont val="Aptos Narrow"/>
        <family val="2"/>
        <scheme val="minor"/>
      </rPr>
      <t xml:space="preserve"> BOM </t>
    </r>
    <r>
      <rPr>
        <sz val="11"/>
        <color theme="1"/>
        <rFont val="맑은 고딕"/>
        <family val="3"/>
        <charset val="129"/>
      </rPr>
      <t>기반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계산에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사용</t>
    </r>
    <r>
      <rPr>
        <sz val="11"/>
        <color theme="1"/>
        <rFont val="Aptos Narrow"/>
        <family val="2"/>
        <scheme val="minor"/>
      </rPr>
      <t>.</t>
    </r>
    <phoneticPr fontId="6" type="noConversion"/>
  </si>
  <si>
    <t>천장판타공</t>
    <phoneticPr fontId="6" type="noConversion"/>
  </si>
  <si>
    <t>천장판에서 홀 가공(환풍기홀/등/직선컷 등) 추가비용을 위한 단가표</t>
    <phoneticPr fontId="6" type="noConversion"/>
  </si>
  <si>
    <t>예: 환풍기홀 4,000원, 사각매립등 4,000원, 원형등 2,000원, 직선1회 1,500원</t>
    <phoneticPr fontId="6" type="noConversion"/>
  </si>
  <si>
    <t>바디</t>
  </si>
  <si>
    <t>사이드</t>
  </si>
  <si>
    <t>타일형</t>
    <phoneticPr fontId="6" type="noConversion"/>
  </si>
  <si>
    <t>타일일체형</t>
    <phoneticPr fontId="6" type="noConversion"/>
  </si>
  <si>
    <t xml:space="preserve">폭 </t>
  </si>
  <si>
    <t>251106업데이트</t>
  </si>
  <si>
    <t>샤워부</t>
  </si>
  <si>
    <t>단차없음</t>
  </si>
  <si>
    <t>2인 40EA/시간(1면절단)</t>
    <phoneticPr fontId="6" type="noConversion"/>
  </si>
  <si>
    <t>2인 40EA/시간(1면절단)</t>
  </si>
  <si>
    <t>접착제 단가</t>
    <phoneticPr fontId="6" type="noConversion"/>
  </si>
  <si>
    <t>㎡</t>
    <phoneticPr fontId="6" type="noConversion"/>
  </si>
  <si>
    <t>바닥타일
면적</t>
    <phoneticPr fontId="6" type="noConversion"/>
  </si>
  <si>
    <t>은경(거울)</t>
    <phoneticPr fontId="6" type="noConversion"/>
  </si>
  <si>
    <t>샤워수전(MB150)</t>
    <phoneticPr fontId="6" type="noConversion"/>
  </si>
  <si>
    <t>샤워수전(MB150-1)</t>
    <phoneticPr fontId="6" type="noConversion"/>
  </si>
  <si>
    <t>슬라이드바(MH5010)</t>
    <phoneticPr fontId="6" type="noConversion"/>
  </si>
  <si>
    <t>세면기 수전(원홀)(ML151)</t>
    <phoneticPr fontId="6" type="noConversion"/>
  </si>
  <si>
    <t>세면샤워 겸용수전(원홀)(ML153)</t>
    <phoneticPr fontId="6" type="noConversion"/>
  </si>
  <si>
    <t>세면샤워 겸용수전(원홀)(ML153-1)</t>
    <phoneticPr fontId="6" type="noConversion"/>
  </si>
  <si>
    <t>폼업(ML9097)</t>
  </si>
  <si>
    <t>P트랩(ML9091)</t>
    <phoneticPr fontId="6" type="noConversion"/>
  </si>
  <si>
    <t>수건걸이(MA1000T)</t>
    <phoneticPr fontId="6" type="noConversion"/>
  </si>
  <si>
    <t>휴지걸이(MA1090PSF)</t>
    <phoneticPr fontId="6" type="noConversion"/>
  </si>
  <si>
    <t>코너선반(MA1040GF-1)</t>
    <phoneticPr fontId="6" type="noConversion"/>
  </si>
  <si>
    <t>일자 유리선반(690*120, MA1040G-69)</t>
    <phoneticPr fontId="6" type="noConversion"/>
  </si>
  <si>
    <t>일자 유리선반(640*120, MA1040G-69)</t>
    <phoneticPr fontId="6" type="noConversion"/>
  </si>
  <si>
    <t>드레인커버 세면부용(성일용)</t>
    <phoneticPr fontId="6" type="noConversion"/>
  </si>
  <si>
    <t>드레인커버 샤워실용(성일용)</t>
    <phoneticPr fontId="6" type="noConversion"/>
  </si>
  <si>
    <t>욕조(세면기)배수 소켓(Φ35)</t>
    <phoneticPr fontId="6" type="noConversion"/>
  </si>
  <si>
    <t>배수구 편심소켓(Φ50)</t>
    <phoneticPr fontId="6" type="noConversion"/>
  </si>
  <si>
    <t>PB+이중관(오픈수전함)(코너형)</t>
    <phoneticPr fontId="6" type="noConversion"/>
  </si>
  <si>
    <t>PB+이중관(오픈수전함)(사각형)</t>
    <phoneticPr fontId="6" type="noConversion"/>
  </si>
  <si>
    <t>양변기 투피스(DC-407)</t>
    <phoneticPr fontId="6" type="noConversion"/>
  </si>
  <si>
    <t>양변기 투피스(DC-303)</t>
    <phoneticPr fontId="6" type="noConversion"/>
  </si>
  <si>
    <t>샤워부길이</t>
    <phoneticPr fontId="6" type="noConversion"/>
  </si>
  <si>
    <t>대림 구매품</t>
    <phoneticPr fontId="6" type="noConversion"/>
  </si>
  <si>
    <t>오,배수 배관</t>
    <phoneticPr fontId="6" type="noConversion"/>
  </si>
  <si>
    <t>직관(Φ100)</t>
    <phoneticPr fontId="6" type="noConversion"/>
  </si>
  <si>
    <t>직관(Φ75)</t>
    <phoneticPr fontId="6" type="noConversion"/>
  </si>
  <si>
    <t>직관(Φ50)</t>
    <phoneticPr fontId="6" type="noConversion"/>
  </si>
  <si>
    <t>엘보(Φ100)</t>
    <phoneticPr fontId="6" type="noConversion"/>
  </si>
  <si>
    <t>엘보(Φ50)</t>
    <phoneticPr fontId="6" type="noConversion"/>
  </si>
  <si>
    <t>엘보(Φ35)</t>
    <phoneticPr fontId="6" type="noConversion"/>
  </si>
  <si>
    <t>PVC 접착제</t>
    <phoneticPr fontId="6" type="noConversion"/>
  </si>
  <si>
    <t>Φ100 → Φ50</t>
    <phoneticPr fontId="6" type="noConversion"/>
  </si>
  <si>
    <t>PP/PE 부재료, 레듀샤</t>
    <phoneticPr fontId="6" type="noConversion"/>
  </si>
  <si>
    <t>설비업체 이관</t>
    <phoneticPr fontId="6" type="noConversion"/>
  </si>
  <si>
    <t>ABS천장판, 현장별 견적</t>
    <phoneticPr fontId="6" type="noConversion"/>
  </si>
  <si>
    <t>샤워부스, 현장별 견적</t>
    <phoneticPr fontId="6" type="noConversion"/>
  </si>
  <si>
    <t>샤워파티션, 현장별 견적</t>
    <phoneticPr fontId="6" type="noConversion"/>
  </si>
  <si>
    <t>후렉시블 호스, 서스밴드, 현장별 개별 견적</t>
    <phoneticPr fontId="6" type="noConversion"/>
  </si>
  <si>
    <t>환풍기, 현장별 개별 견적</t>
    <phoneticPr fontId="6" type="noConversion"/>
  </si>
  <si>
    <t>세라믹 욕조, 현장별 개별 견적</t>
    <phoneticPr fontId="6" type="noConversion"/>
  </si>
  <si>
    <t>천장 매립등(사각), 현장별 개별 견적</t>
    <phoneticPr fontId="6" type="noConversion"/>
  </si>
  <si>
    <t>천장  매립등(원형), 현장별 개별 견적</t>
    <phoneticPr fontId="6" type="noConversion"/>
  </si>
  <si>
    <t>벽부등, 현장별 개별 견적</t>
    <phoneticPr fontId="6" type="noConversion"/>
  </si>
  <si>
    <t>슬라이딩 욕실장, 현장별 개별 견적</t>
    <phoneticPr fontId="6" type="noConversion"/>
  </si>
  <si>
    <t>현장별 개별 견적</t>
    <phoneticPr fontId="6" type="noConversion"/>
  </si>
  <si>
    <t>도어실(문지방), 현장별 개별 견적</t>
    <phoneticPr fontId="6" type="noConversion"/>
  </si>
  <si>
    <t>젠다이상판, 현장장 개별 견적</t>
    <phoneticPr fontId="6" type="noConversion"/>
  </si>
  <si>
    <t>양변기 준피스(DC-212N)</t>
    <phoneticPr fontId="6" type="noConversion"/>
  </si>
  <si>
    <t>DL-301S</t>
    <phoneticPr fontId="6" type="noConversion"/>
  </si>
  <si>
    <t>DL-303S</t>
    <phoneticPr fontId="6" type="noConversion"/>
  </si>
  <si>
    <t>DL-406SS, ABS반다리,비누대포함, KS L 620</t>
    <phoneticPr fontId="6" type="noConversion"/>
  </si>
  <si>
    <t>DL-406SS, 도기반다리,비누대포함, KS L 620</t>
    <phoneticPr fontId="6" type="noConversion"/>
  </si>
  <si>
    <t>DL-406SS, 도기일체형,비누대포함, KS L 620</t>
    <phoneticPr fontId="6" type="noConversion"/>
  </si>
  <si>
    <t>DL-301SS, ABS반다리,비누대포함, KS L 610</t>
    <phoneticPr fontId="6" type="noConversion"/>
  </si>
  <si>
    <t>DL-301SS, 도기반다리,비누대포함, KS L 610</t>
    <phoneticPr fontId="6" type="noConversion"/>
  </si>
  <si>
    <t>DL-301SS, 도기일체형,비누대포함, KS L 610</t>
    <phoneticPr fontId="6" type="noConversion"/>
  </si>
  <si>
    <t>욕실장(일반형)</t>
    <phoneticPr fontId="6" type="noConversion"/>
  </si>
  <si>
    <t>욕실장(슬라이딩형)</t>
    <phoneticPr fontId="6" type="noConversion"/>
  </si>
  <si>
    <t>슬리브 방수액, 현장별 개별 견적</t>
    <phoneticPr fontId="6" type="noConversion"/>
  </si>
  <si>
    <t>에폭시접착제, 2146원/㎡</t>
    <phoneticPr fontId="6" type="noConversion"/>
  </si>
  <si>
    <t>드레인커버 세면부용(대림용)</t>
    <phoneticPr fontId="6" type="noConversion"/>
  </si>
  <si>
    <t>드레인커버 샤워실용(대림용)</t>
    <phoneticPr fontId="6" type="noConversion"/>
  </si>
  <si>
    <t>드레인커버 세면부용(한샘용)</t>
    <phoneticPr fontId="6" type="noConversion"/>
  </si>
  <si>
    <t>드레인커버 샤워실용(한샘용)</t>
    <phoneticPr fontId="6" type="noConversion"/>
  </si>
  <si>
    <t>FRP 부재료</t>
    <phoneticPr fontId="6" type="noConversion"/>
  </si>
  <si>
    <t>GRP/FRP 부재료</t>
    <phoneticPr fontId="6" type="noConversion"/>
  </si>
  <si>
    <t>GRP 부재료</t>
    <phoneticPr fontId="6" type="noConversion"/>
  </si>
  <si>
    <t>GRP/FRP/PP/PE 부재료</t>
    <phoneticPr fontId="6" type="noConversion"/>
  </si>
  <si>
    <t>슬리브용 몰탈막음 스폰지</t>
    <phoneticPr fontId="6" type="noConversion"/>
  </si>
  <si>
    <t>PE/PP</t>
    <phoneticPr fontId="6" type="noConversion"/>
  </si>
  <si>
    <t>GRP/FRP 부재료(내화채움용)</t>
    <phoneticPr fontId="6" type="noConversion"/>
  </si>
  <si>
    <t>배수트랩 층하용, 대림용</t>
    <phoneticPr fontId="6" type="noConversion"/>
  </si>
  <si>
    <t>내화채움 오수조인트(내화용)</t>
    <phoneticPr fontId="6" type="noConversion"/>
  </si>
  <si>
    <t>오수구 소켓(내화용)</t>
    <phoneticPr fontId="6" type="noConversion"/>
  </si>
  <si>
    <t>내화채움 배수조인트(내화용)</t>
    <phoneticPr fontId="6" type="noConversion"/>
  </si>
  <si>
    <t>Φ100, 대림용</t>
    <phoneticPr fontId="6" type="noConversion"/>
  </si>
  <si>
    <t>Φ50, 대림용</t>
    <phoneticPr fontId="6" type="noConversion"/>
  </si>
  <si>
    <t>벽타일 250*400</t>
    <phoneticPr fontId="6" type="noConversion"/>
  </si>
  <si>
    <t>벽타일 300*600</t>
    <phoneticPr fontId="6" type="noConversion"/>
  </si>
  <si>
    <t>바닥타일 200*200</t>
    <phoneticPr fontId="6" type="noConversion"/>
  </si>
  <si>
    <t>바닥타일 300*300</t>
    <phoneticPr fontId="6" type="noConversion"/>
  </si>
  <si>
    <t>타일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</si>
</sst>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 "/>
    <numFmt numFmtId="177" formatCode="#,##0_);[Red]\(#,##0\)"/>
    <numFmt numFmtId="178" formatCode="#,##0.0_);[Red]\(#,##0.0\)"/>
  </numFmts>
  <fonts count="19">
    <font>
      <sz val="11"/>
      <color theme="1"/>
      <name val="Aptos Narrow"/>
      <scheme val="minor"/>
    </font>
    <font>
      <sz val="11"/>
      <color theme="1"/>
      <name val="Malgun Gothic"/>
      <family val="3"/>
      <charset val="129"/>
    </font>
    <font>
      <sz val="11"/>
      <color theme="1"/>
      <name val="Aptos Narrow"/>
      <family val="2"/>
      <scheme val="minor"/>
    </font>
    <font>
      <b/>
      <sz val="11"/>
      <color rgb="FF000000"/>
      <name val="&quot;Aptos Narrow&quot;"/>
    </font>
    <font>
      <sz val="11"/>
      <color theme="1"/>
      <name val="Arial"/>
      <family val="2"/>
    </font>
    <font>
      <sz val="11"/>
      <color rgb="FF000000"/>
      <name val="&quot;Aptos Narrow&quot;"/>
    </font>
    <font>
      <sz val="8"/>
      <name val="Aptos Narrow"/>
      <family val="3"/>
      <charset val="129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theme="1"/>
      <name val="Arial Unicode MS"/>
      <family val="2"/>
    </font>
    <font>
      <sz val="11"/>
      <color theme="1"/>
      <name val="Aptos Narrow"/>
      <family val="3"/>
    </font>
    <font>
      <sz val="11"/>
      <color theme="1"/>
      <name val="맑은 고딕"/>
      <family val="2"/>
      <charset val="129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3"/>
      <charset val="129"/>
      <scheme val="minor"/>
    </font>
    <font>
      <b/>
      <sz val="11"/>
      <color theme="1"/>
      <name val="맑은 고딕"/>
      <family val="2"/>
      <charset val="129"/>
    </font>
    <font>
      <sz val="11"/>
      <color theme="1"/>
      <name val="Aptos Narrow"/>
      <family val="2"/>
      <scheme val="minor"/>
    </font>
    <font>
      <sz val="11"/>
      <color theme="1"/>
      <name val="굴림체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1" fontId="17" fillId="0" borderId="0" applyFont="0" applyFill="0" applyBorder="0" applyAlignment="0" applyProtection="0">
      <alignment vertical="center"/>
    </xf>
    <xf numFmtId="0" fontId="8" fillId="0" borderId="1">
      <alignment vertical="center"/>
    </xf>
    <xf numFmtId="41" fontId="8" fillId="0" borderId="1" applyFont="0" applyFill="0" applyBorder="0" applyAlignment="0" applyProtection="0">
      <alignment vertical="center"/>
    </xf>
  </cellStyleXfs>
  <cellXfs count="63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3" fillId="0" borderId="2" xfId="0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5" fillId="0" borderId="0" xfId="0" applyFont="1"/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0" fillId="3" borderId="0" xfId="0" applyFont="1" applyFill="1" applyAlignment="1">
      <alignment vertical="center"/>
    </xf>
    <xf numFmtId="0" fontId="0" fillId="3" borderId="0" xfId="0" applyFill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14" fillId="3" borderId="0" xfId="0" applyFont="1" applyFill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1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6" fillId="3" borderId="0" xfId="0" applyFont="1" applyFill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right" vertical="center"/>
    </xf>
    <xf numFmtId="177" fontId="9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shrinkToFit="1"/>
    </xf>
    <xf numFmtId="41" fontId="9" fillId="0" borderId="0" xfId="1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41" fontId="18" fillId="0" borderId="0" xfId="1" applyFont="1" applyAlignment="1">
      <alignment vertical="center"/>
    </xf>
    <xf numFmtId="177" fontId="18" fillId="0" borderId="0" xfId="1" applyNumberFormat="1" applyFont="1" applyAlignment="1">
      <alignment horizontal="center" vertical="center"/>
    </xf>
    <xf numFmtId="41" fontId="18" fillId="2" borderId="1" xfId="1" applyFont="1" applyFill="1" applyBorder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9" fillId="2" borderId="1" xfId="0" applyNumberFormat="1" applyFont="1" applyFill="1" applyBorder="1" applyAlignment="1">
      <alignment vertical="center"/>
    </xf>
    <xf numFmtId="3" fontId="9" fillId="3" borderId="0" xfId="0" applyNumberFormat="1" applyFont="1" applyFill="1" applyAlignment="1">
      <alignment horizontal="center" vertical="center"/>
    </xf>
    <xf numFmtId="3" fontId="9" fillId="3" borderId="0" xfId="0" applyNumberFormat="1" applyFont="1" applyFill="1" applyAlignment="1">
      <alignment horizontal="center" vertical="center" wrapText="1"/>
    </xf>
    <xf numFmtId="1" fontId="5" fillId="0" borderId="0" xfId="0" applyNumberFormat="1" applyFont="1"/>
    <xf numFmtId="178" fontId="18" fillId="0" borderId="0" xfId="1" applyNumberFormat="1" applyFont="1" applyAlignment="1">
      <alignment horizontal="center" vertical="center"/>
    </xf>
    <xf numFmtId="41" fontId="18" fillId="4" borderId="1" xfId="1" applyFont="1" applyFill="1" applyBorder="1" applyAlignment="1">
      <alignment vertical="center"/>
    </xf>
    <xf numFmtId="41" fontId="18" fillId="3" borderId="0" xfId="1" applyFont="1" applyFill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</cellXfs>
  <cellStyles count="4">
    <cellStyle name="쉼표 [0]" xfId="1" builtinId="6"/>
    <cellStyle name="쉼표 [0] 2 5" xfId="3" xr:uid="{2BA3EC81-2BDB-4317-8931-D70311123292}"/>
    <cellStyle name="표준" xfId="0" builtinId="0"/>
    <cellStyle name="표준 2 5" xfId="2" xr:uid="{C212ACAF-724E-4668-A444-934DCF3CB2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1002"/>
  <sheetViews>
    <sheetView topLeftCell="A66" workbookViewId="0">
      <selection activeCell="J85" sqref="J85"/>
    </sheetView>
  </sheetViews>
  <sheetFormatPr defaultColWidth="12.54296875" defaultRowHeight="15" customHeight="1"/>
  <cols>
    <col min="1" max="1" width="7.81640625" style="28" customWidth="1"/>
    <col min="2" max="2" width="11.36328125" style="28" customWidth="1"/>
    <col min="3" max="4" width="9.453125" style="28" customWidth="1"/>
    <col min="5" max="5" width="10.36328125" style="28" customWidth="1"/>
    <col min="6" max="11" width="8.26953125" style="28" customWidth="1"/>
    <col min="12" max="13" width="14.36328125" style="28" customWidth="1"/>
    <col min="14" max="14" width="10.81640625" style="28" customWidth="1"/>
    <col min="15" max="28" width="7.54296875" style="14" customWidth="1"/>
    <col min="29" max="16384" width="12.54296875" style="14"/>
  </cols>
  <sheetData>
    <row r="1" spans="1:28" ht="35.15" customHeight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324</v>
      </c>
      <c r="L1" s="28" t="s">
        <v>11</v>
      </c>
      <c r="M1" s="28" t="s">
        <v>12</v>
      </c>
      <c r="N1" s="48" t="s">
        <v>13</v>
      </c>
      <c r="O1" s="48"/>
      <c r="P1" s="48"/>
      <c r="Q1" s="48"/>
      <c r="R1" s="48"/>
      <c r="S1" s="48"/>
    </row>
    <row r="2" spans="1:28" ht="20.25" customHeight="1">
      <c r="A2" s="28" t="s">
        <v>14</v>
      </c>
      <c r="B2" s="28" t="s">
        <v>15</v>
      </c>
      <c r="C2" s="28" t="s">
        <v>16</v>
      </c>
      <c r="D2" s="28" t="s">
        <v>17</v>
      </c>
      <c r="E2" s="28" t="s">
        <v>18</v>
      </c>
      <c r="F2" s="28">
        <v>1300</v>
      </c>
      <c r="G2" s="28">
        <v>1900</v>
      </c>
      <c r="H2" s="28">
        <v>1300</v>
      </c>
      <c r="I2" s="28">
        <v>1300</v>
      </c>
      <c r="J2" s="28">
        <v>850</v>
      </c>
      <c r="K2" s="28">
        <v>600</v>
      </c>
      <c r="L2" s="30">
        <f>바닥판단가!G2</f>
        <v>51610</v>
      </c>
      <c r="M2" s="30">
        <f>바닥판단가!G16</f>
        <v>20666</v>
      </c>
      <c r="N2" s="31">
        <f>바닥판단가!G2 + 바닥판단가!G16</f>
        <v>72276</v>
      </c>
      <c r="Q2" s="36"/>
      <c r="R2" s="36"/>
      <c r="S2" s="36"/>
      <c r="AA2" s="28"/>
    </row>
    <row r="3" spans="1:28" ht="20.25" customHeight="1">
      <c r="A3" s="28" t="s">
        <v>14</v>
      </c>
      <c r="B3" s="28" t="s">
        <v>15</v>
      </c>
      <c r="C3" s="28" t="s">
        <v>16</v>
      </c>
      <c r="D3" s="28" t="s">
        <v>17</v>
      </c>
      <c r="E3" s="28" t="s">
        <v>18</v>
      </c>
      <c r="F3" s="28">
        <v>1300</v>
      </c>
      <c r="G3" s="28">
        <v>1900</v>
      </c>
      <c r="H3" s="28">
        <v>1300</v>
      </c>
      <c r="I3" s="28">
        <v>1300</v>
      </c>
      <c r="J3" s="28">
        <v>900</v>
      </c>
      <c r="K3" s="28">
        <v>600</v>
      </c>
      <c r="L3" s="30">
        <f>바닥판단가!G2</f>
        <v>51610</v>
      </c>
      <c r="M3" s="30">
        <f>바닥판단가!G17</f>
        <v>21190</v>
      </c>
      <c r="N3" s="31">
        <f>바닥판단가!G2 + 바닥판단가!G17</f>
        <v>72800</v>
      </c>
      <c r="Q3" s="36"/>
      <c r="R3" s="36"/>
      <c r="S3" s="36"/>
      <c r="T3" s="28"/>
      <c r="U3" s="28"/>
      <c r="V3" s="28"/>
      <c r="W3" s="28"/>
    </row>
    <row r="4" spans="1:28" ht="20.25" customHeight="1">
      <c r="A4" s="28" t="s">
        <v>14</v>
      </c>
      <c r="B4" s="28" t="s">
        <v>15</v>
      </c>
      <c r="C4" s="28" t="s">
        <v>16</v>
      </c>
      <c r="D4" s="28" t="s">
        <v>17</v>
      </c>
      <c r="E4" s="28" t="s">
        <v>18</v>
      </c>
      <c r="F4" s="28">
        <v>1300</v>
      </c>
      <c r="G4" s="28">
        <v>2000</v>
      </c>
      <c r="H4" s="28">
        <v>1300</v>
      </c>
      <c r="I4" s="28">
        <v>1300</v>
      </c>
      <c r="J4" s="28">
        <v>900</v>
      </c>
      <c r="K4" s="28">
        <v>700</v>
      </c>
      <c r="L4" s="30">
        <f>바닥판단가!G2</f>
        <v>51610</v>
      </c>
      <c r="M4" s="30">
        <f>바닥판단가!G18</f>
        <v>22342</v>
      </c>
      <c r="N4" s="31">
        <f>바닥판단가!G2 + 바닥판단가!G18</f>
        <v>73952</v>
      </c>
      <c r="Q4" s="36"/>
      <c r="R4" s="36"/>
      <c r="S4" s="36"/>
      <c r="T4" s="28"/>
      <c r="U4" s="28"/>
      <c r="V4" s="28"/>
      <c r="W4" s="28"/>
    </row>
    <row r="5" spans="1:28" ht="20.25" customHeight="1">
      <c r="A5" s="28" t="s">
        <v>14</v>
      </c>
      <c r="B5" s="28" t="s">
        <v>15</v>
      </c>
      <c r="C5" s="28" t="s">
        <v>16</v>
      </c>
      <c r="D5" s="28" t="s">
        <v>17</v>
      </c>
      <c r="E5" s="28" t="s">
        <v>18</v>
      </c>
      <c r="F5" s="28">
        <v>1300</v>
      </c>
      <c r="G5" s="28">
        <v>2000</v>
      </c>
      <c r="H5" s="28">
        <v>1300</v>
      </c>
      <c r="I5" s="28">
        <v>1400</v>
      </c>
      <c r="J5" s="28">
        <v>850</v>
      </c>
      <c r="K5" s="28">
        <v>600</v>
      </c>
      <c r="L5" s="30">
        <f>바닥판단가!G3</f>
        <v>53600</v>
      </c>
      <c r="M5" s="30">
        <f>바닥판단가!G16</f>
        <v>20666</v>
      </c>
      <c r="N5" s="31">
        <f>바닥판단가!G3 + 바닥판단가!G16</f>
        <v>74266</v>
      </c>
      <c r="Q5" s="36"/>
      <c r="R5" s="36"/>
      <c r="S5" s="36"/>
      <c r="T5" s="28"/>
      <c r="U5" s="28"/>
      <c r="V5" s="28"/>
      <c r="W5" s="28"/>
    </row>
    <row r="6" spans="1:28" ht="20.25" customHeight="1">
      <c r="A6" s="28" t="s">
        <v>14</v>
      </c>
      <c r="B6" s="28" t="s">
        <v>15</v>
      </c>
      <c r="C6" s="28" t="s">
        <v>16</v>
      </c>
      <c r="D6" s="28" t="s">
        <v>17</v>
      </c>
      <c r="E6" s="28" t="s">
        <v>18</v>
      </c>
      <c r="F6" s="28">
        <v>1300</v>
      </c>
      <c r="G6" s="28">
        <v>2000</v>
      </c>
      <c r="H6" s="28">
        <v>1300</v>
      </c>
      <c r="I6" s="28">
        <v>1400</v>
      </c>
      <c r="J6" s="28">
        <v>900</v>
      </c>
      <c r="K6" s="28">
        <v>600</v>
      </c>
      <c r="L6" s="30">
        <f>바닥판단가!G3</f>
        <v>53600</v>
      </c>
      <c r="M6" s="30">
        <f>바닥판단가!G17</f>
        <v>21190</v>
      </c>
      <c r="N6" s="31">
        <f>바닥판단가!G3 + 바닥판단가!G17</f>
        <v>74790</v>
      </c>
      <c r="Q6" s="36"/>
      <c r="R6" s="36"/>
      <c r="S6" s="36"/>
      <c r="T6" s="28"/>
      <c r="U6" s="28"/>
      <c r="V6" s="28"/>
      <c r="W6" s="28"/>
    </row>
    <row r="7" spans="1:28" ht="20.25" customHeight="1">
      <c r="A7" s="28" t="s">
        <v>14</v>
      </c>
      <c r="B7" s="28" t="s">
        <v>15</v>
      </c>
      <c r="C7" s="28" t="s">
        <v>16</v>
      </c>
      <c r="D7" s="28" t="s">
        <v>17</v>
      </c>
      <c r="E7" s="28" t="s">
        <v>18</v>
      </c>
      <c r="F7" s="28">
        <v>1300</v>
      </c>
      <c r="G7" s="28">
        <v>2100</v>
      </c>
      <c r="H7" s="28">
        <v>1300</v>
      </c>
      <c r="I7" s="28">
        <v>1300</v>
      </c>
      <c r="J7" s="28">
        <v>900</v>
      </c>
      <c r="K7" s="28">
        <v>800</v>
      </c>
      <c r="L7" s="30">
        <f>바닥판단가!G2</f>
        <v>51610</v>
      </c>
      <c r="M7" s="30">
        <f>바닥판단가!G19</f>
        <v>23494</v>
      </c>
      <c r="N7" s="31">
        <f>바닥판단가!G2 + 바닥판단가!G19</f>
        <v>75104</v>
      </c>
      <c r="Q7" s="36"/>
      <c r="R7" s="36"/>
      <c r="S7" s="36"/>
      <c r="T7" s="28"/>
      <c r="U7" s="28"/>
      <c r="V7" s="28"/>
      <c r="W7" s="28"/>
    </row>
    <row r="8" spans="1:28" ht="20.25" customHeight="1">
      <c r="A8" s="28" t="s">
        <v>14</v>
      </c>
      <c r="B8" s="28" t="s">
        <v>15</v>
      </c>
      <c r="C8" s="28" t="s">
        <v>16</v>
      </c>
      <c r="D8" s="28" t="s">
        <v>17</v>
      </c>
      <c r="E8" s="28" t="s">
        <v>18</v>
      </c>
      <c r="F8" s="28">
        <v>1300</v>
      </c>
      <c r="G8" s="28">
        <v>2100</v>
      </c>
      <c r="H8" s="28">
        <v>1300</v>
      </c>
      <c r="I8" s="28">
        <v>1400</v>
      </c>
      <c r="J8" s="28">
        <v>900</v>
      </c>
      <c r="K8" s="28">
        <v>700</v>
      </c>
      <c r="L8" s="30">
        <f>바닥판단가!G3</f>
        <v>53600</v>
      </c>
      <c r="M8" s="30">
        <f>바닥판단가!G18</f>
        <v>22342</v>
      </c>
      <c r="N8" s="31">
        <f>바닥판단가!G3 + 바닥판단가!G18</f>
        <v>75942</v>
      </c>
      <c r="Q8" s="36"/>
      <c r="R8" s="36"/>
      <c r="S8" s="36"/>
      <c r="T8" s="28"/>
      <c r="U8" s="28"/>
      <c r="V8" s="28"/>
      <c r="W8" s="28"/>
      <c r="AA8" s="28"/>
      <c r="AB8" s="28"/>
    </row>
    <row r="9" spans="1:28" ht="20.25" customHeight="1">
      <c r="A9" s="28" t="s">
        <v>14</v>
      </c>
      <c r="B9" s="28" t="s">
        <v>15</v>
      </c>
      <c r="C9" s="28" t="s">
        <v>16</v>
      </c>
      <c r="D9" s="28" t="s">
        <v>17</v>
      </c>
      <c r="E9" s="28" t="s">
        <v>18</v>
      </c>
      <c r="F9" s="28">
        <v>1300</v>
      </c>
      <c r="G9" s="28">
        <v>2100</v>
      </c>
      <c r="H9" s="28">
        <v>1300</v>
      </c>
      <c r="I9" s="28">
        <v>1500</v>
      </c>
      <c r="J9" s="28">
        <v>850</v>
      </c>
      <c r="K9" s="28">
        <v>600</v>
      </c>
      <c r="L9" s="30">
        <f>바닥판단가!G4</f>
        <v>55485</v>
      </c>
      <c r="M9" s="30">
        <f>바닥판단가!G16</f>
        <v>20666</v>
      </c>
      <c r="N9" s="31">
        <f>바닥판단가!G4 + 바닥판단가!G16</f>
        <v>76151</v>
      </c>
      <c r="Q9" s="36"/>
      <c r="R9" s="36"/>
      <c r="S9" s="36"/>
      <c r="T9" s="28"/>
      <c r="U9" s="28"/>
      <c r="V9" s="28"/>
      <c r="W9" s="28"/>
      <c r="AA9" s="28"/>
      <c r="AB9" s="28"/>
    </row>
    <row r="10" spans="1:28" ht="20.25" customHeight="1">
      <c r="A10" s="28" t="s">
        <v>14</v>
      </c>
      <c r="B10" s="28" t="s">
        <v>15</v>
      </c>
      <c r="C10" s="28" t="s">
        <v>16</v>
      </c>
      <c r="D10" s="28" t="s">
        <v>17</v>
      </c>
      <c r="E10" s="28" t="s">
        <v>18</v>
      </c>
      <c r="F10" s="28">
        <v>1300</v>
      </c>
      <c r="G10" s="28">
        <v>2100</v>
      </c>
      <c r="H10" s="28">
        <v>1300</v>
      </c>
      <c r="I10" s="28">
        <v>1500</v>
      </c>
      <c r="J10" s="28">
        <v>900</v>
      </c>
      <c r="K10" s="28">
        <v>600</v>
      </c>
      <c r="L10" s="30">
        <f>바닥판단가!G4</f>
        <v>55485</v>
      </c>
      <c r="M10" s="30">
        <f>바닥판단가!G17</f>
        <v>21190</v>
      </c>
      <c r="N10" s="31">
        <f>바닥판단가!G4 + 바닥판단가!G17</f>
        <v>76675</v>
      </c>
      <c r="Q10" s="36"/>
      <c r="R10" s="36"/>
      <c r="S10" s="36"/>
      <c r="T10" s="28"/>
      <c r="U10" s="28"/>
      <c r="V10" s="28"/>
      <c r="W10" s="28"/>
      <c r="AA10" s="28"/>
      <c r="AB10" s="28"/>
    </row>
    <row r="11" spans="1:28" ht="20.25" customHeight="1">
      <c r="A11" s="28" t="s">
        <v>14</v>
      </c>
      <c r="B11" s="28" t="s">
        <v>15</v>
      </c>
      <c r="C11" s="28" t="s">
        <v>16</v>
      </c>
      <c r="D11" s="28" t="s">
        <v>17</v>
      </c>
      <c r="E11" s="28" t="s">
        <v>18</v>
      </c>
      <c r="F11" s="28">
        <v>1300</v>
      </c>
      <c r="G11" s="28">
        <v>2200</v>
      </c>
      <c r="H11" s="28">
        <v>1300</v>
      </c>
      <c r="I11" s="28">
        <v>1300</v>
      </c>
      <c r="J11" s="28">
        <v>900</v>
      </c>
      <c r="K11" s="28">
        <v>900</v>
      </c>
      <c r="L11" s="30">
        <f>바닥판단가!G2</f>
        <v>51610</v>
      </c>
      <c r="M11" s="30">
        <f>바닥판단가!G20</f>
        <v>25066</v>
      </c>
      <c r="N11" s="31">
        <f>바닥판단가!G2 + 바닥판단가!G20</f>
        <v>76676</v>
      </c>
      <c r="Q11" s="36"/>
      <c r="R11" s="36"/>
      <c r="S11" s="36"/>
      <c r="T11" s="28"/>
      <c r="U11" s="28"/>
      <c r="V11" s="28"/>
      <c r="W11" s="28"/>
      <c r="AA11" s="28"/>
      <c r="AB11" s="28"/>
    </row>
    <row r="12" spans="1:28" ht="20.25" customHeight="1">
      <c r="A12" s="28" t="s">
        <v>14</v>
      </c>
      <c r="B12" s="28" t="s">
        <v>15</v>
      </c>
      <c r="C12" s="28" t="s">
        <v>16</v>
      </c>
      <c r="D12" s="28" t="s">
        <v>17</v>
      </c>
      <c r="E12" s="28" t="s">
        <v>18</v>
      </c>
      <c r="F12" s="28">
        <v>1300</v>
      </c>
      <c r="G12" s="28">
        <v>2200</v>
      </c>
      <c r="H12" s="28">
        <v>1300</v>
      </c>
      <c r="I12" s="28">
        <v>1300</v>
      </c>
      <c r="J12" s="28">
        <v>1000</v>
      </c>
      <c r="K12" s="28">
        <v>900</v>
      </c>
      <c r="L12" s="30">
        <f>바닥판단가!G2</f>
        <v>51610</v>
      </c>
      <c r="M12" s="30">
        <f>바닥판단가!G23</f>
        <v>27161</v>
      </c>
      <c r="N12" s="31">
        <f>바닥판단가!G2 + 바닥판단가!G23</f>
        <v>78771</v>
      </c>
      <c r="Q12" s="36"/>
      <c r="R12" s="36"/>
      <c r="S12" s="36"/>
      <c r="T12" s="28"/>
      <c r="U12" s="28"/>
      <c r="V12" s="28"/>
      <c r="W12" s="28"/>
      <c r="AA12" s="28"/>
      <c r="AB12" s="28"/>
    </row>
    <row r="13" spans="1:28" ht="20.25" customHeight="1">
      <c r="A13" s="28" t="s">
        <v>14</v>
      </c>
      <c r="B13" s="28" t="s">
        <v>15</v>
      </c>
      <c r="C13" s="28" t="s">
        <v>16</v>
      </c>
      <c r="D13" s="28" t="s">
        <v>17</v>
      </c>
      <c r="E13" s="28" t="s">
        <v>18</v>
      </c>
      <c r="F13" s="28">
        <v>1300</v>
      </c>
      <c r="G13" s="28">
        <v>2200</v>
      </c>
      <c r="H13" s="28">
        <v>1300</v>
      </c>
      <c r="I13" s="28">
        <v>1400</v>
      </c>
      <c r="J13" s="28">
        <v>900</v>
      </c>
      <c r="K13" s="28">
        <v>800</v>
      </c>
      <c r="L13" s="30">
        <f>바닥판단가!G3</f>
        <v>53600</v>
      </c>
      <c r="M13" s="30">
        <f>바닥판단가!G19</f>
        <v>23494</v>
      </c>
      <c r="N13" s="31">
        <f>바닥판단가!G3 + 바닥판단가!G19</f>
        <v>77094</v>
      </c>
      <c r="Q13" s="36"/>
      <c r="R13" s="36"/>
      <c r="S13" s="36"/>
      <c r="T13" s="28"/>
      <c r="U13" s="28"/>
      <c r="V13" s="28"/>
      <c r="W13" s="28"/>
    </row>
    <row r="14" spans="1:28" ht="20.25" customHeight="1">
      <c r="A14" s="28" t="s">
        <v>14</v>
      </c>
      <c r="B14" s="28" t="s">
        <v>15</v>
      </c>
      <c r="C14" s="28" t="s">
        <v>16</v>
      </c>
      <c r="D14" s="28" t="s">
        <v>17</v>
      </c>
      <c r="E14" s="28" t="s">
        <v>18</v>
      </c>
      <c r="F14" s="28">
        <v>1300</v>
      </c>
      <c r="G14" s="28">
        <v>2200</v>
      </c>
      <c r="H14" s="28">
        <v>1300</v>
      </c>
      <c r="I14" s="28">
        <v>1500</v>
      </c>
      <c r="J14" s="28">
        <v>900</v>
      </c>
      <c r="K14" s="28">
        <v>700</v>
      </c>
      <c r="L14" s="30">
        <f>바닥판단가!G4</f>
        <v>55485</v>
      </c>
      <c r="M14" s="30">
        <f>바닥판단가!G18</f>
        <v>22342</v>
      </c>
      <c r="N14" s="31">
        <f>바닥판단가!G4 + 바닥판단가!G18</f>
        <v>77827</v>
      </c>
      <c r="Q14" s="36"/>
      <c r="R14" s="36"/>
      <c r="S14" s="36"/>
      <c r="T14" s="28"/>
      <c r="U14" s="28"/>
      <c r="V14" s="28"/>
      <c r="W14" s="28"/>
    </row>
    <row r="15" spans="1:28" ht="20.25" customHeight="1">
      <c r="A15" s="28" t="s">
        <v>14</v>
      </c>
      <c r="B15" s="28" t="s">
        <v>15</v>
      </c>
      <c r="C15" s="28" t="s">
        <v>16</v>
      </c>
      <c r="D15" s="28" t="s">
        <v>17</v>
      </c>
      <c r="E15" s="28" t="s">
        <v>18</v>
      </c>
      <c r="F15" s="28">
        <v>1300</v>
      </c>
      <c r="G15" s="28">
        <v>2200</v>
      </c>
      <c r="H15" s="28">
        <v>1300</v>
      </c>
      <c r="I15" s="28">
        <v>1600</v>
      </c>
      <c r="J15" s="28">
        <v>850</v>
      </c>
      <c r="K15" s="28">
        <v>600</v>
      </c>
      <c r="L15" s="30">
        <f>바닥판단가!G5</f>
        <v>57790</v>
      </c>
      <c r="M15" s="30">
        <f>바닥판단가!G16</f>
        <v>20666</v>
      </c>
      <c r="N15" s="31">
        <f>바닥판단가!G5 + 바닥판단가!G16</f>
        <v>78456</v>
      </c>
      <c r="Q15" s="36"/>
      <c r="R15" s="36"/>
      <c r="S15" s="36"/>
      <c r="T15" s="28"/>
      <c r="U15" s="28"/>
      <c r="V15" s="28"/>
      <c r="W15" s="28"/>
    </row>
    <row r="16" spans="1:28" ht="20.25" customHeight="1">
      <c r="A16" s="28" t="s">
        <v>14</v>
      </c>
      <c r="B16" s="28" t="s">
        <v>15</v>
      </c>
      <c r="C16" s="28" t="s">
        <v>16</v>
      </c>
      <c r="D16" s="28" t="s">
        <v>17</v>
      </c>
      <c r="E16" s="28" t="s">
        <v>18</v>
      </c>
      <c r="F16" s="28">
        <v>1300</v>
      </c>
      <c r="G16" s="28">
        <v>2200</v>
      </c>
      <c r="H16" s="28">
        <v>1300</v>
      </c>
      <c r="I16" s="28">
        <v>1600</v>
      </c>
      <c r="J16" s="28">
        <v>900</v>
      </c>
      <c r="K16" s="28">
        <v>600</v>
      </c>
      <c r="L16" s="30">
        <f>바닥판단가!G5</f>
        <v>57790</v>
      </c>
      <c r="M16" s="30">
        <f>바닥판단가!G17</f>
        <v>21190</v>
      </c>
      <c r="N16" s="31">
        <f>바닥판단가!G5 + 바닥판단가!G17</f>
        <v>78980</v>
      </c>
      <c r="Q16" s="36"/>
      <c r="R16" s="36"/>
      <c r="S16" s="36"/>
      <c r="T16" s="28"/>
      <c r="U16" s="28"/>
      <c r="V16" s="28"/>
      <c r="W16" s="28"/>
    </row>
    <row r="17" spans="1:23" ht="20.25" customHeight="1">
      <c r="A17" s="28" t="s">
        <v>14</v>
      </c>
      <c r="B17" s="28" t="s">
        <v>15</v>
      </c>
      <c r="C17" s="28" t="s">
        <v>16</v>
      </c>
      <c r="D17" s="28" t="s">
        <v>17</v>
      </c>
      <c r="E17" s="28" t="s">
        <v>18</v>
      </c>
      <c r="F17" s="28">
        <v>1300</v>
      </c>
      <c r="G17" s="28">
        <v>2300</v>
      </c>
      <c r="H17" s="28">
        <v>1300</v>
      </c>
      <c r="I17" s="28">
        <v>1300</v>
      </c>
      <c r="J17" s="28">
        <v>1000</v>
      </c>
      <c r="K17" s="28">
        <v>1000</v>
      </c>
      <c r="L17" s="30">
        <f>바닥판단가!G2</f>
        <v>51610</v>
      </c>
      <c r="M17" s="30">
        <f>바닥판단가!G24</f>
        <v>29256</v>
      </c>
      <c r="N17" s="31">
        <f>바닥판단가!G2 + 바닥판단가!G24</f>
        <v>80866</v>
      </c>
      <c r="Q17" s="36"/>
      <c r="R17" s="36"/>
      <c r="S17" s="36"/>
      <c r="T17" s="28"/>
      <c r="U17" s="28"/>
      <c r="V17" s="28"/>
      <c r="W17" s="28"/>
    </row>
    <row r="18" spans="1:23" ht="20.25" customHeight="1">
      <c r="A18" s="28" t="s">
        <v>14</v>
      </c>
      <c r="B18" s="28" t="s">
        <v>15</v>
      </c>
      <c r="C18" s="28" t="s">
        <v>16</v>
      </c>
      <c r="D18" s="28" t="s">
        <v>17</v>
      </c>
      <c r="E18" s="28" t="s">
        <v>18</v>
      </c>
      <c r="F18" s="28">
        <v>1300</v>
      </c>
      <c r="G18" s="28">
        <v>2300</v>
      </c>
      <c r="H18" s="28">
        <v>1300</v>
      </c>
      <c r="I18" s="28">
        <v>1400</v>
      </c>
      <c r="J18" s="28">
        <v>900</v>
      </c>
      <c r="K18" s="28">
        <v>900</v>
      </c>
      <c r="L18" s="30">
        <f>바닥판단가!G3</f>
        <v>53600</v>
      </c>
      <c r="M18" s="30">
        <f>바닥판단가!G20</f>
        <v>25066</v>
      </c>
      <c r="N18" s="31">
        <f>바닥판단가!G3 + 바닥판단가!G20</f>
        <v>78666</v>
      </c>
      <c r="Q18" s="36"/>
      <c r="R18" s="36"/>
      <c r="S18" s="36"/>
      <c r="T18" s="28"/>
      <c r="U18" s="28"/>
      <c r="V18" s="28"/>
      <c r="W18" s="28"/>
    </row>
    <row r="19" spans="1:23" ht="20.25" customHeight="1">
      <c r="A19" s="28" t="s">
        <v>14</v>
      </c>
      <c r="B19" s="28" t="s">
        <v>15</v>
      </c>
      <c r="C19" s="28" t="s">
        <v>16</v>
      </c>
      <c r="D19" s="28" t="s">
        <v>17</v>
      </c>
      <c r="E19" s="28" t="s">
        <v>18</v>
      </c>
      <c r="F19" s="28">
        <v>1300</v>
      </c>
      <c r="G19" s="28">
        <v>2300</v>
      </c>
      <c r="H19" s="28">
        <v>1300</v>
      </c>
      <c r="I19" s="28">
        <v>1400</v>
      </c>
      <c r="J19" s="28">
        <v>1000</v>
      </c>
      <c r="K19" s="28">
        <v>900</v>
      </c>
      <c r="L19" s="30">
        <f>바닥판단가!G3</f>
        <v>53600</v>
      </c>
      <c r="M19" s="30">
        <f>바닥판단가!G23</f>
        <v>27161</v>
      </c>
      <c r="N19" s="31">
        <f>바닥판단가!G3 + 바닥판단가!G23</f>
        <v>80761</v>
      </c>
      <c r="Q19" s="36"/>
      <c r="R19" s="36"/>
      <c r="S19" s="36"/>
    </row>
    <row r="20" spans="1:23" ht="20.25" customHeight="1">
      <c r="A20" s="28" t="s">
        <v>14</v>
      </c>
      <c r="B20" s="28" t="s">
        <v>15</v>
      </c>
      <c r="C20" s="28" t="s">
        <v>16</v>
      </c>
      <c r="D20" s="28" t="s">
        <v>17</v>
      </c>
      <c r="E20" s="28" t="s">
        <v>18</v>
      </c>
      <c r="F20" s="28">
        <v>1300</v>
      </c>
      <c r="G20" s="28">
        <v>2300</v>
      </c>
      <c r="H20" s="28">
        <v>1300</v>
      </c>
      <c r="I20" s="28">
        <v>1500</v>
      </c>
      <c r="J20" s="28">
        <v>900</v>
      </c>
      <c r="K20" s="28">
        <v>800</v>
      </c>
      <c r="L20" s="30">
        <f>바닥판단가!G4</f>
        <v>55485</v>
      </c>
      <c r="M20" s="30">
        <f>바닥판단가!G19</f>
        <v>23494</v>
      </c>
      <c r="N20" s="31">
        <f>바닥판단가!G4 + 바닥판단가!G19</f>
        <v>78979</v>
      </c>
      <c r="Q20" s="36"/>
      <c r="R20" s="36"/>
      <c r="S20" s="36"/>
    </row>
    <row r="21" spans="1:23" ht="20.25" customHeight="1">
      <c r="A21" s="28" t="s">
        <v>14</v>
      </c>
      <c r="B21" s="28" t="s">
        <v>15</v>
      </c>
      <c r="C21" s="28" t="s">
        <v>16</v>
      </c>
      <c r="D21" s="28" t="s">
        <v>17</v>
      </c>
      <c r="E21" s="28" t="s">
        <v>18</v>
      </c>
      <c r="F21" s="28">
        <v>1300</v>
      </c>
      <c r="G21" s="28">
        <v>2300</v>
      </c>
      <c r="H21" s="28">
        <v>1300</v>
      </c>
      <c r="I21" s="28">
        <v>1600</v>
      </c>
      <c r="J21" s="28">
        <v>900</v>
      </c>
      <c r="K21" s="28">
        <v>700</v>
      </c>
      <c r="L21" s="30">
        <f>바닥판단가!G5</f>
        <v>57790</v>
      </c>
      <c r="M21" s="30">
        <f>바닥판단가!G18</f>
        <v>22342</v>
      </c>
      <c r="N21" s="31">
        <f>바닥판단가!G5 + 바닥판단가!G18</f>
        <v>80132</v>
      </c>
      <c r="Q21" s="36"/>
      <c r="R21" s="36"/>
      <c r="S21" s="36"/>
      <c r="T21" s="28"/>
      <c r="U21" s="28"/>
      <c r="V21" s="28"/>
    </row>
    <row r="22" spans="1:23" ht="20.25" customHeight="1">
      <c r="A22" s="28" t="s">
        <v>14</v>
      </c>
      <c r="B22" s="28" t="s">
        <v>15</v>
      </c>
      <c r="C22" s="28" t="s">
        <v>16</v>
      </c>
      <c r="D22" s="28" t="s">
        <v>17</v>
      </c>
      <c r="E22" s="28" t="s">
        <v>18</v>
      </c>
      <c r="F22" s="28">
        <v>1300</v>
      </c>
      <c r="G22" s="28">
        <v>2400</v>
      </c>
      <c r="H22" s="28">
        <v>1300</v>
      </c>
      <c r="I22" s="28">
        <v>1400</v>
      </c>
      <c r="J22" s="28">
        <v>1000</v>
      </c>
      <c r="K22" s="28">
        <v>1000</v>
      </c>
      <c r="L22" s="30">
        <f>바닥판단가!G3</f>
        <v>53600</v>
      </c>
      <c r="M22" s="30">
        <f>바닥판단가!G24</f>
        <v>29256</v>
      </c>
      <c r="N22" s="31">
        <f>바닥판단가!G3 + 바닥판단가!G24</f>
        <v>82856</v>
      </c>
      <c r="Q22" s="36"/>
      <c r="R22" s="36"/>
      <c r="S22" s="36"/>
      <c r="T22" s="28"/>
      <c r="U22" s="28"/>
      <c r="V22" s="28"/>
    </row>
    <row r="23" spans="1:23" ht="20.25" customHeight="1">
      <c r="A23" s="28" t="s">
        <v>14</v>
      </c>
      <c r="B23" s="28" t="s">
        <v>15</v>
      </c>
      <c r="C23" s="28" t="s">
        <v>16</v>
      </c>
      <c r="D23" s="28" t="s">
        <v>17</v>
      </c>
      <c r="E23" s="28" t="s">
        <v>18</v>
      </c>
      <c r="F23" s="28">
        <v>1300</v>
      </c>
      <c r="G23" s="28">
        <v>2400</v>
      </c>
      <c r="H23" s="28">
        <v>1300</v>
      </c>
      <c r="I23" s="28">
        <v>1500</v>
      </c>
      <c r="J23" s="28">
        <v>900</v>
      </c>
      <c r="K23" s="28">
        <v>900</v>
      </c>
      <c r="L23" s="30">
        <f>바닥판단가!G4</f>
        <v>55485</v>
      </c>
      <c r="M23" s="30">
        <f>바닥판단가!G20</f>
        <v>25066</v>
      </c>
      <c r="N23" s="31">
        <f>바닥판단가!G4 + 바닥판단가!G20</f>
        <v>80551</v>
      </c>
      <c r="Q23" s="36"/>
      <c r="R23" s="36"/>
      <c r="S23" s="36"/>
      <c r="T23" s="28"/>
      <c r="U23" s="28"/>
      <c r="V23" s="28"/>
    </row>
    <row r="24" spans="1:23" ht="20.25" customHeight="1">
      <c r="A24" s="28" t="s">
        <v>14</v>
      </c>
      <c r="B24" s="28" t="s">
        <v>15</v>
      </c>
      <c r="C24" s="28" t="s">
        <v>16</v>
      </c>
      <c r="D24" s="28" t="s">
        <v>17</v>
      </c>
      <c r="E24" s="28" t="s">
        <v>18</v>
      </c>
      <c r="F24" s="28">
        <v>1300</v>
      </c>
      <c r="G24" s="28">
        <v>2400</v>
      </c>
      <c r="H24" s="28">
        <v>1300</v>
      </c>
      <c r="I24" s="28">
        <v>1500</v>
      </c>
      <c r="J24" s="28">
        <v>1000</v>
      </c>
      <c r="K24" s="28">
        <v>900</v>
      </c>
      <c r="L24" s="30">
        <f>바닥판단가!G4</f>
        <v>55485</v>
      </c>
      <c r="M24" s="30">
        <f>바닥판단가!G23</f>
        <v>27161</v>
      </c>
      <c r="N24" s="31">
        <f>바닥판단가!G4 + 바닥판단가!G23</f>
        <v>82646</v>
      </c>
      <c r="Q24" s="36"/>
      <c r="R24" s="36"/>
      <c r="S24" s="36"/>
      <c r="T24" s="28"/>
      <c r="U24" s="28"/>
      <c r="V24" s="28"/>
    </row>
    <row r="25" spans="1:23" ht="20.25" customHeight="1">
      <c r="A25" s="28" t="s">
        <v>14</v>
      </c>
      <c r="B25" s="28" t="s">
        <v>15</v>
      </c>
      <c r="C25" s="28" t="s">
        <v>16</v>
      </c>
      <c r="D25" s="28" t="s">
        <v>17</v>
      </c>
      <c r="E25" s="28" t="s">
        <v>18</v>
      </c>
      <c r="F25" s="28">
        <v>1300</v>
      </c>
      <c r="G25" s="28">
        <v>2400</v>
      </c>
      <c r="H25" s="28">
        <v>1300</v>
      </c>
      <c r="I25" s="28">
        <v>1600</v>
      </c>
      <c r="J25" s="28">
        <v>900</v>
      </c>
      <c r="K25" s="28">
        <v>800</v>
      </c>
      <c r="L25" s="30">
        <f>바닥판단가!G5</f>
        <v>57790</v>
      </c>
      <c r="M25" s="30">
        <f>바닥판단가!G19</f>
        <v>23494</v>
      </c>
      <c r="N25" s="31">
        <f>바닥판단가!G5 + 바닥판단가!G19</f>
        <v>81284</v>
      </c>
      <c r="Q25" s="36"/>
      <c r="R25" s="36"/>
      <c r="S25" s="36"/>
      <c r="T25" s="28"/>
      <c r="U25" s="28"/>
      <c r="V25" s="28"/>
    </row>
    <row r="26" spans="1:23" ht="20.25" customHeight="1">
      <c r="A26" s="28" t="s">
        <v>14</v>
      </c>
      <c r="B26" s="28" t="s">
        <v>15</v>
      </c>
      <c r="C26" s="28" t="s">
        <v>16</v>
      </c>
      <c r="D26" s="28" t="s">
        <v>17</v>
      </c>
      <c r="E26" s="28" t="s">
        <v>18</v>
      </c>
      <c r="F26" s="28">
        <v>1300</v>
      </c>
      <c r="G26" s="28">
        <v>2500</v>
      </c>
      <c r="H26" s="28">
        <v>1300</v>
      </c>
      <c r="I26" s="28">
        <v>1500</v>
      </c>
      <c r="J26" s="28">
        <v>1000</v>
      </c>
      <c r="K26" s="28">
        <v>1000</v>
      </c>
      <c r="L26" s="30">
        <f>바닥판단가!G4</f>
        <v>55485</v>
      </c>
      <c r="M26" s="30">
        <f>바닥판단가!G24</f>
        <v>29256</v>
      </c>
      <c r="N26" s="31">
        <f>바닥판단가!G4 + 바닥판단가!G24</f>
        <v>84741</v>
      </c>
      <c r="Q26" s="36"/>
      <c r="R26" s="36"/>
      <c r="S26" s="36"/>
      <c r="T26" s="28"/>
      <c r="U26" s="28"/>
      <c r="V26" s="28"/>
    </row>
    <row r="27" spans="1:23" ht="20.25" customHeight="1">
      <c r="A27" s="28" t="s">
        <v>14</v>
      </c>
      <c r="B27" s="28" t="s">
        <v>15</v>
      </c>
      <c r="C27" s="28" t="s">
        <v>16</v>
      </c>
      <c r="D27" s="28" t="s">
        <v>17</v>
      </c>
      <c r="E27" s="28" t="s">
        <v>18</v>
      </c>
      <c r="F27" s="28">
        <v>1300</v>
      </c>
      <c r="G27" s="28">
        <v>2500</v>
      </c>
      <c r="H27" s="28">
        <v>1300</v>
      </c>
      <c r="I27" s="28">
        <v>1600</v>
      </c>
      <c r="J27" s="28">
        <v>900</v>
      </c>
      <c r="K27" s="28">
        <v>900</v>
      </c>
      <c r="L27" s="30">
        <f>바닥판단가!G5</f>
        <v>57790</v>
      </c>
      <c r="M27" s="30">
        <f>바닥판단가!G20</f>
        <v>25066</v>
      </c>
      <c r="N27" s="31">
        <f>바닥판단가!G5 + 바닥판단가!G20</f>
        <v>82856</v>
      </c>
      <c r="Q27" s="36"/>
      <c r="R27" s="36"/>
      <c r="S27" s="36"/>
      <c r="T27" s="28"/>
      <c r="U27" s="28"/>
      <c r="V27" s="28"/>
    </row>
    <row r="28" spans="1:23" ht="20.25" customHeight="1">
      <c r="A28" s="28" t="s">
        <v>14</v>
      </c>
      <c r="B28" s="28" t="s">
        <v>15</v>
      </c>
      <c r="C28" s="28" t="s">
        <v>16</v>
      </c>
      <c r="D28" s="28" t="s">
        <v>17</v>
      </c>
      <c r="E28" s="28" t="s">
        <v>18</v>
      </c>
      <c r="F28" s="28">
        <v>1300</v>
      </c>
      <c r="G28" s="28">
        <v>2500</v>
      </c>
      <c r="H28" s="28">
        <v>1300</v>
      </c>
      <c r="I28" s="28">
        <v>1600</v>
      </c>
      <c r="J28" s="28">
        <v>1000</v>
      </c>
      <c r="K28" s="28">
        <v>900</v>
      </c>
      <c r="L28" s="30">
        <f>바닥판단가!G5</f>
        <v>57790</v>
      </c>
      <c r="M28" s="30">
        <f>바닥판단가!G23</f>
        <v>27161</v>
      </c>
      <c r="N28" s="31">
        <f>바닥판단가!G5 + 바닥판단가!G23</f>
        <v>84951</v>
      </c>
      <c r="Q28" s="36"/>
      <c r="R28" s="36"/>
      <c r="S28" s="36"/>
      <c r="T28" s="28"/>
      <c r="U28" s="28"/>
      <c r="V28" s="28"/>
    </row>
    <row r="29" spans="1:23" ht="20.25" customHeight="1">
      <c r="A29" s="28" t="s">
        <v>14</v>
      </c>
      <c r="B29" s="28" t="s">
        <v>15</v>
      </c>
      <c r="C29" s="28" t="s">
        <v>16</v>
      </c>
      <c r="D29" s="28" t="s">
        <v>17</v>
      </c>
      <c r="E29" s="28" t="s">
        <v>18</v>
      </c>
      <c r="F29" s="28">
        <v>1400</v>
      </c>
      <c r="G29" s="28">
        <v>1900</v>
      </c>
      <c r="H29" s="28">
        <v>1400</v>
      </c>
      <c r="I29" s="28">
        <v>1300</v>
      </c>
      <c r="J29" s="28">
        <v>850</v>
      </c>
      <c r="K29" s="28">
        <v>600</v>
      </c>
      <c r="L29" s="30">
        <f>바닥판단가!G6</f>
        <v>53600</v>
      </c>
      <c r="M29" s="30">
        <f>바닥판단가!G16</f>
        <v>20666</v>
      </c>
      <c r="N29" s="31">
        <f>바닥판단가!G6 + 바닥판단가!G16</f>
        <v>74266</v>
      </c>
      <c r="Q29" s="36"/>
      <c r="R29" s="36"/>
      <c r="S29" s="36"/>
    </row>
    <row r="30" spans="1:23" ht="20.25" customHeight="1">
      <c r="A30" s="28" t="s">
        <v>14</v>
      </c>
      <c r="B30" s="28" t="s">
        <v>15</v>
      </c>
      <c r="C30" s="28" t="s">
        <v>16</v>
      </c>
      <c r="D30" s="28" t="s">
        <v>17</v>
      </c>
      <c r="E30" s="28" t="s">
        <v>18</v>
      </c>
      <c r="F30" s="28">
        <v>1400</v>
      </c>
      <c r="G30" s="28">
        <v>1900</v>
      </c>
      <c r="H30" s="28">
        <v>1400</v>
      </c>
      <c r="I30" s="28">
        <v>1300</v>
      </c>
      <c r="J30" s="28">
        <v>900</v>
      </c>
      <c r="K30" s="28">
        <v>600</v>
      </c>
      <c r="L30" s="30">
        <f>바닥판단가!G6</f>
        <v>53600</v>
      </c>
      <c r="M30" s="30">
        <f>바닥판단가!G17</f>
        <v>21190</v>
      </c>
      <c r="N30" s="31">
        <f>바닥판단가!G6 + 바닥판단가!G17</f>
        <v>74790</v>
      </c>
      <c r="Q30" s="36"/>
      <c r="R30" s="36"/>
      <c r="S30" s="36"/>
    </row>
    <row r="31" spans="1:23" ht="20.25" customHeight="1">
      <c r="A31" s="28" t="s">
        <v>14</v>
      </c>
      <c r="B31" s="28" t="s">
        <v>15</v>
      </c>
      <c r="C31" s="28" t="s">
        <v>16</v>
      </c>
      <c r="D31" s="28" t="s">
        <v>17</v>
      </c>
      <c r="E31" s="28" t="s">
        <v>18</v>
      </c>
      <c r="F31" s="28">
        <v>1400</v>
      </c>
      <c r="G31" s="28">
        <v>2000</v>
      </c>
      <c r="H31" s="28">
        <v>1400</v>
      </c>
      <c r="I31" s="28">
        <v>1300</v>
      </c>
      <c r="J31" s="28">
        <v>900</v>
      </c>
      <c r="K31" s="28">
        <v>700</v>
      </c>
      <c r="L31" s="30">
        <f>바닥판단가!G6</f>
        <v>53600</v>
      </c>
      <c r="M31" s="30">
        <f>바닥판단가!G18</f>
        <v>22342</v>
      </c>
      <c r="N31" s="31">
        <f>바닥판단가!G6 + 바닥판단가!G18</f>
        <v>75942</v>
      </c>
      <c r="Q31" s="36"/>
      <c r="R31" s="36"/>
      <c r="S31" s="36"/>
    </row>
    <row r="32" spans="1:23" ht="20.25" customHeight="1">
      <c r="A32" s="28" t="s">
        <v>14</v>
      </c>
      <c r="B32" s="28" t="s">
        <v>15</v>
      </c>
      <c r="C32" s="28" t="s">
        <v>16</v>
      </c>
      <c r="D32" s="28" t="s">
        <v>17</v>
      </c>
      <c r="E32" s="28" t="s">
        <v>18</v>
      </c>
      <c r="F32" s="28">
        <v>1400</v>
      </c>
      <c r="G32" s="28">
        <v>2000</v>
      </c>
      <c r="H32" s="28">
        <v>1400</v>
      </c>
      <c r="I32" s="28">
        <v>1400</v>
      </c>
      <c r="J32" s="28">
        <v>850</v>
      </c>
      <c r="K32" s="28">
        <v>600</v>
      </c>
      <c r="L32" s="30">
        <f>바닥판단가!G7</f>
        <v>55695</v>
      </c>
      <c r="M32" s="30">
        <f>바닥판단가!G16</f>
        <v>20666</v>
      </c>
      <c r="N32" s="31">
        <f>바닥판단가!G7 + 바닥판단가!G16</f>
        <v>76361</v>
      </c>
      <c r="Q32" s="36"/>
      <c r="R32" s="36"/>
      <c r="S32" s="36"/>
    </row>
    <row r="33" spans="1:28" ht="20.25" customHeight="1">
      <c r="A33" s="28" t="s">
        <v>14</v>
      </c>
      <c r="B33" s="28" t="s">
        <v>15</v>
      </c>
      <c r="C33" s="28" t="s">
        <v>16</v>
      </c>
      <c r="D33" s="28" t="s">
        <v>17</v>
      </c>
      <c r="E33" s="28" t="s">
        <v>18</v>
      </c>
      <c r="F33" s="28">
        <v>1400</v>
      </c>
      <c r="G33" s="28">
        <v>2000</v>
      </c>
      <c r="H33" s="28">
        <v>1400</v>
      </c>
      <c r="I33" s="28">
        <v>1400</v>
      </c>
      <c r="J33" s="28">
        <v>900</v>
      </c>
      <c r="K33" s="28">
        <v>600</v>
      </c>
      <c r="L33" s="30">
        <f>바닥판단가!G7</f>
        <v>55695</v>
      </c>
      <c r="M33" s="30">
        <f>바닥판단가!G17</f>
        <v>21190</v>
      </c>
      <c r="N33" s="31">
        <f>바닥판단가!G7 + 바닥판단가!G17</f>
        <v>76885</v>
      </c>
      <c r="Q33" s="36"/>
      <c r="R33" s="36"/>
      <c r="S33" s="36"/>
    </row>
    <row r="34" spans="1:28" ht="20.25" customHeight="1">
      <c r="A34" s="28" t="s">
        <v>14</v>
      </c>
      <c r="B34" s="28" t="s">
        <v>15</v>
      </c>
      <c r="C34" s="28" t="s">
        <v>16</v>
      </c>
      <c r="D34" s="28" t="s">
        <v>17</v>
      </c>
      <c r="E34" s="28" t="s">
        <v>18</v>
      </c>
      <c r="F34" s="28">
        <v>1400</v>
      </c>
      <c r="G34" s="28">
        <v>2100</v>
      </c>
      <c r="H34" s="28">
        <v>1400</v>
      </c>
      <c r="I34" s="28">
        <v>1300</v>
      </c>
      <c r="J34" s="28">
        <v>900</v>
      </c>
      <c r="K34" s="28">
        <v>800</v>
      </c>
      <c r="L34" s="30">
        <f>바닥판단가!G6</f>
        <v>53600</v>
      </c>
      <c r="M34" s="30">
        <f>바닥판단가!G19</f>
        <v>23494</v>
      </c>
      <c r="N34" s="31">
        <f>바닥판단가!G6 + 바닥판단가!G19</f>
        <v>77094</v>
      </c>
      <c r="Q34" s="36"/>
      <c r="R34" s="36"/>
      <c r="S34" s="36"/>
    </row>
    <row r="35" spans="1:28" ht="20.25" customHeight="1">
      <c r="A35" s="32" t="s">
        <v>14</v>
      </c>
      <c r="B35" s="32" t="s">
        <v>15</v>
      </c>
      <c r="C35" s="32" t="s">
        <v>16</v>
      </c>
      <c r="D35" s="32" t="s">
        <v>17</v>
      </c>
      <c r="E35" s="32" t="s">
        <v>18</v>
      </c>
      <c r="F35" s="32">
        <v>1400</v>
      </c>
      <c r="G35" s="32">
        <v>2100</v>
      </c>
      <c r="H35" s="32">
        <v>1400</v>
      </c>
      <c r="I35" s="32">
        <v>1400</v>
      </c>
      <c r="J35" s="32">
        <v>900</v>
      </c>
      <c r="K35" s="32">
        <v>700</v>
      </c>
      <c r="L35" s="33">
        <f>바닥판단가!G7</f>
        <v>55695</v>
      </c>
      <c r="M35" s="33">
        <f>바닥판단가!G18</f>
        <v>22342</v>
      </c>
      <c r="N35" s="34">
        <f>바닥판단가!G7 + 바닥판단가!G18</f>
        <v>78037</v>
      </c>
      <c r="O35" s="35"/>
      <c r="P35" s="35"/>
      <c r="Q35" s="49"/>
      <c r="R35" s="49"/>
      <c r="S35" s="49"/>
      <c r="T35" s="35"/>
      <c r="U35" s="35"/>
      <c r="V35" s="35"/>
      <c r="W35" s="35"/>
      <c r="X35" s="35"/>
      <c r="Y35" s="35"/>
      <c r="Z35" s="35"/>
      <c r="AA35" s="35"/>
      <c r="AB35" s="35"/>
    </row>
    <row r="36" spans="1:28" ht="20.25" customHeight="1">
      <c r="A36" s="28" t="s">
        <v>14</v>
      </c>
      <c r="B36" s="28" t="s">
        <v>15</v>
      </c>
      <c r="C36" s="28" t="s">
        <v>16</v>
      </c>
      <c r="D36" s="28" t="s">
        <v>17</v>
      </c>
      <c r="E36" s="28" t="s">
        <v>18</v>
      </c>
      <c r="F36" s="28">
        <v>1400</v>
      </c>
      <c r="G36" s="28">
        <v>2100</v>
      </c>
      <c r="H36" s="28">
        <v>1400</v>
      </c>
      <c r="I36" s="28">
        <v>1500</v>
      </c>
      <c r="J36" s="28">
        <v>850</v>
      </c>
      <c r="K36" s="28">
        <v>600</v>
      </c>
      <c r="L36" s="30">
        <f>바닥판단가!G8</f>
        <v>57581</v>
      </c>
      <c r="M36" s="30">
        <f>바닥판단가!G16</f>
        <v>20666</v>
      </c>
      <c r="N36" s="31">
        <f>바닥판단가!G8 + 바닥판단가!G16</f>
        <v>78247</v>
      </c>
      <c r="Q36" s="36"/>
      <c r="R36" s="36"/>
      <c r="S36" s="36"/>
    </row>
    <row r="37" spans="1:28" ht="20.25" customHeight="1">
      <c r="A37" s="28" t="s">
        <v>14</v>
      </c>
      <c r="B37" s="28" t="s">
        <v>15</v>
      </c>
      <c r="C37" s="28" t="s">
        <v>16</v>
      </c>
      <c r="D37" s="28" t="s">
        <v>17</v>
      </c>
      <c r="E37" s="28" t="s">
        <v>18</v>
      </c>
      <c r="F37" s="28">
        <v>1400</v>
      </c>
      <c r="G37" s="28">
        <v>2100</v>
      </c>
      <c r="H37" s="28">
        <v>1400</v>
      </c>
      <c r="I37" s="28">
        <v>1500</v>
      </c>
      <c r="J37" s="28">
        <v>900</v>
      </c>
      <c r="K37" s="28">
        <v>600</v>
      </c>
      <c r="L37" s="30">
        <f>바닥판단가!G8</f>
        <v>57581</v>
      </c>
      <c r="M37" s="30">
        <f>바닥판단가!G17</f>
        <v>21190</v>
      </c>
      <c r="N37" s="31">
        <f>바닥판단가!G8 + 바닥판단가!G17</f>
        <v>78771</v>
      </c>
      <c r="Q37" s="36"/>
      <c r="R37" s="36"/>
      <c r="S37" s="36"/>
    </row>
    <row r="38" spans="1:28" ht="20.25" customHeight="1">
      <c r="A38" s="28" t="s">
        <v>14</v>
      </c>
      <c r="B38" s="28" t="s">
        <v>15</v>
      </c>
      <c r="C38" s="28" t="s">
        <v>16</v>
      </c>
      <c r="D38" s="28" t="s">
        <v>17</v>
      </c>
      <c r="E38" s="28" t="s">
        <v>18</v>
      </c>
      <c r="F38" s="28">
        <v>1400</v>
      </c>
      <c r="G38" s="28">
        <v>2200</v>
      </c>
      <c r="H38" s="28">
        <v>1400</v>
      </c>
      <c r="I38" s="28">
        <v>1300</v>
      </c>
      <c r="J38" s="28">
        <v>900</v>
      </c>
      <c r="K38" s="28">
        <v>900</v>
      </c>
      <c r="L38" s="30">
        <f>바닥판단가!G6</f>
        <v>53600</v>
      </c>
      <c r="M38" s="30">
        <f>바닥판단가!G20</f>
        <v>25066</v>
      </c>
      <c r="N38" s="31">
        <f>바닥판단가!G6 + 바닥판단가!G20</f>
        <v>78666</v>
      </c>
      <c r="Q38" s="36"/>
      <c r="R38" s="36"/>
      <c r="S38" s="36"/>
    </row>
    <row r="39" spans="1:28" ht="20.25" customHeight="1">
      <c r="A39" s="28" t="s">
        <v>14</v>
      </c>
      <c r="B39" s="28" t="s">
        <v>15</v>
      </c>
      <c r="C39" s="28" t="s">
        <v>16</v>
      </c>
      <c r="D39" s="28" t="s">
        <v>17</v>
      </c>
      <c r="E39" s="28" t="s">
        <v>18</v>
      </c>
      <c r="F39" s="28">
        <v>1400</v>
      </c>
      <c r="G39" s="28">
        <v>2200</v>
      </c>
      <c r="H39" s="28">
        <v>1400</v>
      </c>
      <c r="I39" s="28">
        <v>1300</v>
      </c>
      <c r="J39" s="28">
        <v>1000</v>
      </c>
      <c r="K39" s="28">
        <v>900</v>
      </c>
      <c r="L39" s="30">
        <f>바닥판단가!G6</f>
        <v>53600</v>
      </c>
      <c r="M39" s="30">
        <f>바닥판단가!G23</f>
        <v>27161</v>
      </c>
      <c r="N39" s="31">
        <f>바닥판단가!G6 + 바닥판단가!G23</f>
        <v>80761</v>
      </c>
      <c r="Q39" s="36"/>
      <c r="R39" s="36"/>
      <c r="S39" s="36"/>
    </row>
    <row r="40" spans="1:28" ht="20.25" customHeight="1">
      <c r="A40" s="28" t="s">
        <v>14</v>
      </c>
      <c r="B40" s="28" t="s">
        <v>15</v>
      </c>
      <c r="C40" s="28" t="s">
        <v>16</v>
      </c>
      <c r="D40" s="28" t="s">
        <v>17</v>
      </c>
      <c r="E40" s="28" t="s">
        <v>18</v>
      </c>
      <c r="F40" s="28">
        <v>1400</v>
      </c>
      <c r="G40" s="28">
        <v>2200</v>
      </c>
      <c r="H40" s="28">
        <v>1400</v>
      </c>
      <c r="I40" s="28">
        <v>1400</v>
      </c>
      <c r="J40" s="28">
        <v>900</v>
      </c>
      <c r="K40" s="28">
        <v>800</v>
      </c>
      <c r="L40" s="30">
        <f>바닥판단가!G7</f>
        <v>55695</v>
      </c>
      <c r="M40" s="30">
        <f>바닥판단가!G19</f>
        <v>23494</v>
      </c>
      <c r="N40" s="31">
        <f>바닥판단가!G7 + 바닥판단가!G19</f>
        <v>79189</v>
      </c>
      <c r="Q40" s="36"/>
      <c r="R40" s="36"/>
      <c r="S40" s="36"/>
    </row>
    <row r="41" spans="1:28" ht="20.25" customHeight="1">
      <c r="A41" s="28" t="s">
        <v>14</v>
      </c>
      <c r="B41" s="28" t="s">
        <v>15</v>
      </c>
      <c r="C41" s="28" t="s">
        <v>16</v>
      </c>
      <c r="D41" s="28" t="s">
        <v>17</v>
      </c>
      <c r="E41" s="28" t="s">
        <v>18</v>
      </c>
      <c r="F41" s="28">
        <v>1400</v>
      </c>
      <c r="G41" s="28">
        <v>2200</v>
      </c>
      <c r="H41" s="28">
        <v>1400</v>
      </c>
      <c r="I41" s="28">
        <v>1500</v>
      </c>
      <c r="J41" s="28">
        <v>900</v>
      </c>
      <c r="K41" s="28">
        <v>700</v>
      </c>
      <c r="L41" s="30">
        <f>바닥판단가!G8</f>
        <v>57581</v>
      </c>
      <c r="M41" s="30">
        <f>바닥판단가!G18</f>
        <v>22342</v>
      </c>
      <c r="N41" s="31">
        <f>바닥판단가!G8 + 바닥판단가!G18</f>
        <v>79923</v>
      </c>
      <c r="Q41" s="36"/>
      <c r="R41" s="36"/>
      <c r="S41" s="36"/>
    </row>
    <row r="42" spans="1:28" ht="20.25" customHeight="1">
      <c r="A42" s="28" t="s">
        <v>14</v>
      </c>
      <c r="B42" s="28" t="s">
        <v>15</v>
      </c>
      <c r="C42" s="28" t="s">
        <v>16</v>
      </c>
      <c r="D42" s="28" t="s">
        <v>17</v>
      </c>
      <c r="E42" s="28" t="s">
        <v>18</v>
      </c>
      <c r="F42" s="28">
        <v>1400</v>
      </c>
      <c r="G42" s="28">
        <v>2200</v>
      </c>
      <c r="H42" s="28">
        <v>1400</v>
      </c>
      <c r="I42" s="28">
        <v>1600</v>
      </c>
      <c r="J42" s="28">
        <v>850</v>
      </c>
      <c r="K42" s="28">
        <v>600</v>
      </c>
      <c r="L42" s="30">
        <f>바닥판단가!G9</f>
        <v>59676</v>
      </c>
      <c r="M42" s="30">
        <f>바닥판단가!G16</f>
        <v>20666</v>
      </c>
      <c r="N42" s="31">
        <f>바닥판단가!G9 + 바닥판단가!G16</f>
        <v>80342</v>
      </c>
      <c r="Q42" s="36"/>
      <c r="R42" s="36"/>
      <c r="S42" s="36"/>
    </row>
    <row r="43" spans="1:28" ht="20.25" customHeight="1">
      <c r="A43" s="28" t="s">
        <v>14</v>
      </c>
      <c r="B43" s="28" t="s">
        <v>15</v>
      </c>
      <c r="C43" s="28" t="s">
        <v>16</v>
      </c>
      <c r="D43" s="28" t="s">
        <v>17</v>
      </c>
      <c r="E43" s="28" t="s">
        <v>18</v>
      </c>
      <c r="F43" s="28">
        <v>1400</v>
      </c>
      <c r="G43" s="28">
        <v>2200</v>
      </c>
      <c r="H43" s="28">
        <v>1400</v>
      </c>
      <c r="I43" s="28">
        <v>1600</v>
      </c>
      <c r="J43" s="28">
        <v>900</v>
      </c>
      <c r="K43" s="28">
        <v>600</v>
      </c>
      <c r="L43" s="30">
        <f>바닥판단가!G9</f>
        <v>59676</v>
      </c>
      <c r="M43" s="30">
        <f>바닥판단가!G17</f>
        <v>21190</v>
      </c>
      <c r="N43" s="31">
        <f>바닥판단가!G9 + 바닥판단가!G17</f>
        <v>80866</v>
      </c>
      <c r="Q43" s="36"/>
      <c r="R43" s="36"/>
      <c r="S43" s="36"/>
    </row>
    <row r="44" spans="1:28" ht="20.25" customHeight="1">
      <c r="A44" s="28" t="s">
        <v>14</v>
      </c>
      <c r="B44" s="28" t="s">
        <v>15</v>
      </c>
      <c r="C44" s="28" t="s">
        <v>16</v>
      </c>
      <c r="D44" s="28" t="s">
        <v>17</v>
      </c>
      <c r="E44" s="28" t="s">
        <v>18</v>
      </c>
      <c r="F44" s="28">
        <v>1400</v>
      </c>
      <c r="G44" s="28">
        <v>2300</v>
      </c>
      <c r="H44" s="28">
        <v>1400</v>
      </c>
      <c r="I44" s="28">
        <v>1300</v>
      </c>
      <c r="J44" s="28">
        <v>1000</v>
      </c>
      <c r="K44" s="28">
        <v>1000</v>
      </c>
      <c r="L44" s="30">
        <f>바닥판단가!G6</f>
        <v>53600</v>
      </c>
      <c r="M44" s="30">
        <f>바닥판단가!G24</f>
        <v>29256</v>
      </c>
      <c r="N44" s="31">
        <f>바닥판단가!G6 + 바닥판단가!G24</f>
        <v>82856</v>
      </c>
      <c r="Q44" s="36"/>
      <c r="R44" s="36"/>
      <c r="S44" s="36"/>
    </row>
    <row r="45" spans="1:28" ht="20.25" customHeight="1">
      <c r="A45" s="28" t="s">
        <v>14</v>
      </c>
      <c r="B45" s="28" t="s">
        <v>15</v>
      </c>
      <c r="C45" s="28" t="s">
        <v>16</v>
      </c>
      <c r="D45" s="28" t="s">
        <v>17</v>
      </c>
      <c r="E45" s="28" t="s">
        <v>18</v>
      </c>
      <c r="F45" s="28">
        <v>1400</v>
      </c>
      <c r="G45" s="28">
        <v>2300</v>
      </c>
      <c r="H45" s="28">
        <v>1400</v>
      </c>
      <c r="I45" s="28">
        <v>1400</v>
      </c>
      <c r="J45" s="28">
        <v>900</v>
      </c>
      <c r="K45" s="28">
        <v>900</v>
      </c>
      <c r="L45" s="30">
        <f>바닥판단가!G7</f>
        <v>55695</v>
      </c>
      <c r="M45" s="30">
        <f>바닥판단가!G20</f>
        <v>25066</v>
      </c>
      <c r="N45" s="31">
        <f>바닥판단가!G7 + 바닥판단가!G20</f>
        <v>80761</v>
      </c>
      <c r="Q45" s="36"/>
      <c r="R45" s="36"/>
      <c r="S45" s="36"/>
    </row>
    <row r="46" spans="1:28" ht="20.25" customHeight="1">
      <c r="A46" s="28" t="s">
        <v>14</v>
      </c>
      <c r="B46" s="28" t="s">
        <v>15</v>
      </c>
      <c r="C46" s="28" t="s">
        <v>16</v>
      </c>
      <c r="D46" s="28" t="s">
        <v>17</v>
      </c>
      <c r="E46" s="28" t="s">
        <v>18</v>
      </c>
      <c r="F46" s="28">
        <v>1400</v>
      </c>
      <c r="G46" s="28">
        <v>2300</v>
      </c>
      <c r="H46" s="28">
        <v>1400</v>
      </c>
      <c r="I46" s="28">
        <v>1400</v>
      </c>
      <c r="J46" s="28">
        <v>1000</v>
      </c>
      <c r="K46" s="28">
        <v>900</v>
      </c>
      <c r="L46" s="30">
        <f>바닥판단가!G7</f>
        <v>55695</v>
      </c>
      <c r="M46" s="30">
        <f>바닥판단가!G23</f>
        <v>27161</v>
      </c>
      <c r="N46" s="31">
        <f>바닥판단가!G7 + 바닥판단가!G23</f>
        <v>82856</v>
      </c>
      <c r="Q46" s="36"/>
      <c r="R46" s="36"/>
      <c r="S46" s="36"/>
    </row>
    <row r="47" spans="1:28" ht="20.25" customHeight="1">
      <c r="A47" s="28" t="s">
        <v>14</v>
      </c>
      <c r="B47" s="28" t="s">
        <v>15</v>
      </c>
      <c r="C47" s="28" t="s">
        <v>16</v>
      </c>
      <c r="D47" s="28" t="s">
        <v>17</v>
      </c>
      <c r="E47" s="28" t="s">
        <v>18</v>
      </c>
      <c r="F47" s="28">
        <v>1400</v>
      </c>
      <c r="G47" s="28">
        <v>2300</v>
      </c>
      <c r="H47" s="28">
        <v>1400</v>
      </c>
      <c r="I47" s="28">
        <v>1500</v>
      </c>
      <c r="J47" s="28">
        <v>900</v>
      </c>
      <c r="K47" s="28">
        <v>800</v>
      </c>
      <c r="L47" s="30">
        <f>바닥판단가!G8</f>
        <v>57581</v>
      </c>
      <c r="M47" s="30">
        <f>바닥판단가!G19</f>
        <v>23494</v>
      </c>
      <c r="N47" s="31">
        <f>바닥판단가!G8 + 바닥판단가!G19</f>
        <v>81075</v>
      </c>
      <c r="Q47" s="36"/>
      <c r="R47" s="36"/>
      <c r="S47" s="36"/>
    </row>
    <row r="48" spans="1:28" ht="20.25" customHeight="1">
      <c r="A48" s="28" t="s">
        <v>14</v>
      </c>
      <c r="B48" s="28" t="s">
        <v>15</v>
      </c>
      <c r="C48" s="28" t="s">
        <v>16</v>
      </c>
      <c r="D48" s="28" t="s">
        <v>17</v>
      </c>
      <c r="E48" s="28" t="s">
        <v>18</v>
      </c>
      <c r="F48" s="28">
        <v>1400</v>
      </c>
      <c r="G48" s="28">
        <v>2300</v>
      </c>
      <c r="H48" s="28">
        <v>1400</v>
      </c>
      <c r="I48" s="28">
        <v>1600</v>
      </c>
      <c r="J48" s="28">
        <v>900</v>
      </c>
      <c r="K48" s="28">
        <v>700</v>
      </c>
      <c r="L48" s="30">
        <f>바닥판단가!G9</f>
        <v>59676</v>
      </c>
      <c r="M48" s="30">
        <f>바닥판단가!G18</f>
        <v>22342</v>
      </c>
      <c r="N48" s="31">
        <f>바닥판단가!G9 + 바닥판단가!G18</f>
        <v>82018</v>
      </c>
      <c r="Q48" s="36"/>
      <c r="R48" s="36"/>
      <c r="S48" s="36"/>
    </row>
    <row r="49" spans="1:19" ht="20.25" customHeight="1">
      <c r="A49" s="28" t="s">
        <v>14</v>
      </c>
      <c r="B49" s="28" t="s">
        <v>15</v>
      </c>
      <c r="C49" s="28" t="s">
        <v>16</v>
      </c>
      <c r="D49" s="28" t="s">
        <v>17</v>
      </c>
      <c r="E49" s="28" t="s">
        <v>18</v>
      </c>
      <c r="F49" s="28">
        <v>1400</v>
      </c>
      <c r="G49" s="28">
        <v>2400</v>
      </c>
      <c r="H49" s="28">
        <v>1400</v>
      </c>
      <c r="I49" s="28">
        <v>1400</v>
      </c>
      <c r="J49" s="28">
        <v>1000</v>
      </c>
      <c r="K49" s="28">
        <v>1000</v>
      </c>
      <c r="L49" s="30">
        <f>바닥판단가!G7</f>
        <v>55695</v>
      </c>
      <c r="M49" s="30">
        <f>바닥판단가!G24</f>
        <v>29256</v>
      </c>
      <c r="N49" s="31">
        <f>바닥판단가!G7 + 바닥판단가!G24</f>
        <v>84951</v>
      </c>
      <c r="Q49" s="36"/>
      <c r="R49" s="36"/>
      <c r="S49" s="36"/>
    </row>
    <row r="50" spans="1:19" ht="20.25" customHeight="1">
      <c r="A50" s="28" t="s">
        <v>14</v>
      </c>
      <c r="B50" s="28" t="s">
        <v>15</v>
      </c>
      <c r="C50" s="28" t="s">
        <v>16</v>
      </c>
      <c r="D50" s="28" t="s">
        <v>17</v>
      </c>
      <c r="E50" s="28" t="s">
        <v>18</v>
      </c>
      <c r="F50" s="28">
        <v>1400</v>
      </c>
      <c r="G50" s="28">
        <v>2400</v>
      </c>
      <c r="H50" s="28">
        <v>1400</v>
      </c>
      <c r="I50" s="28">
        <v>1500</v>
      </c>
      <c r="J50" s="28">
        <v>900</v>
      </c>
      <c r="K50" s="28">
        <v>900</v>
      </c>
      <c r="L50" s="30">
        <f>바닥판단가!G8</f>
        <v>57581</v>
      </c>
      <c r="M50" s="30">
        <f>바닥판단가!G20</f>
        <v>25066</v>
      </c>
      <c r="N50" s="31">
        <f>바닥판단가!G8 + 바닥판단가!G20</f>
        <v>82647</v>
      </c>
      <c r="Q50" s="36"/>
      <c r="R50" s="36"/>
      <c r="S50" s="36"/>
    </row>
    <row r="51" spans="1:19" ht="20.25" customHeight="1">
      <c r="A51" s="28" t="s">
        <v>14</v>
      </c>
      <c r="B51" s="28" t="s">
        <v>15</v>
      </c>
      <c r="C51" s="28" t="s">
        <v>16</v>
      </c>
      <c r="D51" s="28" t="s">
        <v>17</v>
      </c>
      <c r="E51" s="28" t="s">
        <v>18</v>
      </c>
      <c r="F51" s="28">
        <v>1400</v>
      </c>
      <c r="G51" s="28">
        <v>2400</v>
      </c>
      <c r="H51" s="28">
        <v>1400</v>
      </c>
      <c r="I51" s="28">
        <v>1500</v>
      </c>
      <c r="J51" s="28">
        <v>1000</v>
      </c>
      <c r="K51" s="28">
        <v>900</v>
      </c>
      <c r="L51" s="30">
        <f>바닥판단가!G8</f>
        <v>57581</v>
      </c>
      <c r="M51" s="30">
        <f>바닥판단가!G23</f>
        <v>27161</v>
      </c>
      <c r="N51" s="31">
        <f>바닥판단가!G8 + 바닥판단가!G23</f>
        <v>84742</v>
      </c>
      <c r="Q51" s="36"/>
      <c r="R51" s="36"/>
      <c r="S51" s="36"/>
    </row>
    <row r="52" spans="1:19" ht="20.25" customHeight="1">
      <c r="A52" s="28" t="s">
        <v>14</v>
      </c>
      <c r="B52" s="28" t="s">
        <v>15</v>
      </c>
      <c r="C52" s="28" t="s">
        <v>16</v>
      </c>
      <c r="D52" s="28" t="s">
        <v>17</v>
      </c>
      <c r="E52" s="28" t="s">
        <v>18</v>
      </c>
      <c r="F52" s="28">
        <v>1400</v>
      </c>
      <c r="G52" s="28">
        <v>2400</v>
      </c>
      <c r="H52" s="28">
        <v>1400</v>
      </c>
      <c r="I52" s="28">
        <v>1600</v>
      </c>
      <c r="J52" s="28">
        <v>900</v>
      </c>
      <c r="K52" s="28">
        <v>800</v>
      </c>
      <c r="L52" s="30">
        <f>바닥판단가!G9</f>
        <v>59676</v>
      </c>
      <c r="M52" s="30">
        <f>바닥판단가!G19</f>
        <v>23494</v>
      </c>
      <c r="N52" s="31">
        <f>바닥판단가!G9 + 바닥판단가!G19</f>
        <v>83170</v>
      </c>
      <c r="Q52" s="36"/>
      <c r="R52" s="36"/>
      <c r="S52" s="36"/>
    </row>
    <row r="53" spans="1:19" ht="20.25" customHeight="1">
      <c r="A53" s="28" t="s">
        <v>14</v>
      </c>
      <c r="B53" s="28" t="s">
        <v>15</v>
      </c>
      <c r="C53" s="28" t="s">
        <v>16</v>
      </c>
      <c r="D53" s="28" t="s">
        <v>17</v>
      </c>
      <c r="E53" s="28" t="s">
        <v>18</v>
      </c>
      <c r="F53" s="28">
        <v>1400</v>
      </c>
      <c r="G53" s="28">
        <v>2500</v>
      </c>
      <c r="H53" s="28">
        <v>1400</v>
      </c>
      <c r="I53" s="28">
        <v>1500</v>
      </c>
      <c r="J53" s="28">
        <v>1000</v>
      </c>
      <c r="K53" s="28">
        <v>1000</v>
      </c>
      <c r="L53" s="30">
        <f>바닥판단가!G8</f>
        <v>57581</v>
      </c>
      <c r="M53" s="30">
        <f>바닥판단가!G24</f>
        <v>29256</v>
      </c>
      <c r="N53" s="31">
        <f>바닥판단가!G8 + 바닥판단가!G24</f>
        <v>86837</v>
      </c>
      <c r="Q53" s="36"/>
      <c r="R53" s="36"/>
      <c r="S53" s="36"/>
    </row>
    <row r="54" spans="1:19" ht="20.25" customHeight="1">
      <c r="A54" s="28" t="s">
        <v>14</v>
      </c>
      <c r="B54" s="28" t="s">
        <v>15</v>
      </c>
      <c r="C54" s="28" t="s">
        <v>16</v>
      </c>
      <c r="D54" s="28" t="s">
        <v>17</v>
      </c>
      <c r="E54" s="28" t="s">
        <v>18</v>
      </c>
      <c r="F54" s="28">
        <v>1400</v>
      </c>
      <c r="G54" s="28">
        <v>2500</v>
      </c>
      <c r="H54" s="28">
        <v>1400</v>
      </c>
      <c r="I54" s="28">
        <v>1600</v>
      </c>
      <c r="J54" s="28">
        <v>900</v>
      </c>
      <c r="K54" s="28">
        <v>900</v>
      </c>
      <c r="L54" s="30">
        <f>바닥판단가!G9</f>
        <v>59676</v>
      </c>
      <c r="M54" s="30">
        <f>바닥판단가!G20</f>
        <v>25066</v>
      </c>
      <c r="N54" s="31">
        <f>바닥판단가!G9 + 바닥판단가!G20</f>
        <v>84742</v>
      </c>
      <c r="Q54" s="36"/>
      <c r="R54" s="36"/>
      <c r="S54" s="36"/>
    </row>
    <row r="55" spans="1:19" ht="20.25" customHeight="1">
      <c r="A55" s="28" t="s">
        <v>14</v>
      </c>
      <c r="B55" s="28" t="s">
        <v>15</v>
      </c>
      <c r="C55" s="28" t="s">
        <v>16</v>
      </c>
      <c r="D55" s="28" t="s">
        <v>17</v>
      </c>
      <c r="E55" s="28" t="s">
        <v>18</v>
      </c>
      <c r="F55" s="28">
        <v>1400</v>
      </c>
      <c r="G55" s="28">
        <v>2500</v>
      </c>
      <c r="H55" s="28">
        <v>1400</v>
      </c>
      <c r="I55" s="28">
        <v>1600</v>
      </c>
      <c r="J55" s="28">
        <v>1000</v>
      </c>
      <c r="K55" s="28">
        <v>900</v>
      </c>
      <c r="L55" s="30">
        <f>바닥판단가!G9</f>
        <v>59676</v>
      </c>
      <c r="M55" s="30">
        <f>바닥판단가!G23</f>
        <v>27161</v>
      </c>
      <c r="N55" s="31">
        <f>바닥판단가!G9 + 바닥판단가!G23</f>
        <v>86837</v>
      </c>
      <c r="Q55" s="36"/>
      <c r="R55" s="36"/>
      <c r="S55" s="36"/>
    </row>
    <row r="56" spans="1:19" ht="20.25" customHeight="1">
      <c r="A56" s="28" t="s">
        <v>14</v>
      </c>
      <c r="B56" s="28" t="s">
        <v>15</v>
      </c>
      <c r="C56" s="28" t="s">
        <v>16</v>
      </c>
      <c r="D56" s="28" t="s">
        <v>17</v>
      </c>
      <c r="E56" s="28" t="s">
        <v>18</v>
      </c>
      <c r="F56" s="28">
        <v>1500</v>
      </c>
      <c r="G56" s="28">
        <v>1900</v>
      </c>
      <c r="H56" s="28">
        <v>1500</v>
      </c>
      <c r="I56" s="28">
        <v>1300</v>
      </c>
      <c r="J56" s="28">
        <v>850</v>
      </c>
      <c r="K56" s="28">
        <v>600</v>
      </c>
      <c r="L56" s="30">
        <f>바닥판단가!G10</f>
        <v>55485</v>
      </c>
      <c r="M56" s="30">
        <f>바닥판단가!G16</f>
        <v>20666</v>
      </c>
      <c r="N56" s="31">
        <f>바닥판단가!G10 + 바닥판단가!G16</f>
        <v>76151</v>
      </c>
      <c r="Q56" s="36"/>
      <c r="R56" s="36"/>
      <c r="S56" s="36"/>
    </row>
    <row r="57" spans="1:19" ht="20.25" customHeight="1">
      <c r="A57" s="28" t="s">
        <v>14</v>
      </c>
      <c r="B57" s="28" t="s">
        <v>15</v>
      </c>
      <c r="C57" s="28" t="s">
        <v>16</v>
      </c>
      <c r="D57" s="28" t="s">
        <v>17</v>
      </c>
      <c r="E57" s="28" t="s">
        <v>18</v>
      </c>
      <c r="F57" s="28">
        <v>1500</v>
      </c>
      <c r="G57" s="28">
        <v>1900</v>
      </c>
      <c r="H57" s="28">
        <v>1500</v>
      </c>
      <c r="I57" s="28">
        <v>1300</v>
      </c>
      <c r="J57" s="28">
        <v>900</v>
      </c>
      <c r="K57" s="28">
        <v>600</v>
      </c>
      <c r="L57" s="30">
        <f>바닥판단가!G10</f>
        <v>55485</v>
      </c>
      <c r="M57" s="30">
        <f>바닥판단가!G17</f>
        <v>21190</v>
      </c>
      <c r="N57" s="31">
        <f>바닥판단가!G10 + 바닥판단가!G17</f>
        <v>76675</v>
      </c>
      <c r="Q57" s="36"/>
      <c r="R57" s="36"/>
      <c r="S57" s="36"/>
    </row>
    <row r="58" spans="1:19" ht="20.25" customHeight="1">
      <c r="A58" s="28" t="s">
        <v>14</v>
      </c>
      <c r="B58" s="28" t="s">
        <v>15</v>
      </c>
      <c r="C58" s="28" t="s">
        <v>16</v>
      </c>
      <c r="D58" s="28" t="s">
        <v>17</v>
      </c>
      <c r="E58" s="28" t="s">
        <v>18</v>
      </c>
      <c r="F58" s="28">
        <v>1500</v>
      </c>
      <c r="G58" s="28">
        <v>2000</v>
      </c>
      <c r="H58" s="28">
        <v>1500</v>
      </c>
      <c r="I58" s="28">
        <v>1300</v>
      </c>
      <c r="J58" s="28">
        <v>900</v>
      </c>
      <c r="K58" s="28">
        <v>700</v>
      </c>
      <c r="L58" s="30">
        <f>바닥판단가!G10</f>
        <v>55485</v>
      </c>
      <c r="M58" s="30">
        <f>바닥판단가!G18</f>
        <v>22342</v>
      </c>
      <c r="N58" s="31">
        <f>바닥판단가!G10 + 바닥판단가!G18</f>
        <v>77827</v>
      </c>
      <c r="Q58" s="36"/>
      <c r="R58" s="36"/>
      <c r="S58" s="36"/>
    </row>
    <row r="59" spans="1:19" ht="20.25" customHeight="1">
      <c r="A59" s="28" t="s">
        <v>14</v>
      </c>
      <c r="B59" s="28" t="s">
        <v>15</v>
      </c>
      <c r="C59" s="28" t="s">
        <v>16</v>
      </c>
      <c r="D59" s="28" t="s">
        <v>17</v>
      </c>
      <c r="E59" s="28" t="s">
        <v>18</v>
      </c>
      <c r="F59" s="28">
        <v>1500</v>
      </c>
      <c r="G59" s="28">
        <v>2000</v>
      </c>
      <c r="H59" s="28">
        <v>1500</v>
      </c>
      <c r="I59" s="28">
        <v>1400</v>
      </c>
      <c r="J59" s="28">
        <v>850</v>
      </c>
      <c r="K59" s="28">
        <v>600</v>
      </c>
      <c r="L59" s="30">
        <f>바닥판단가!G11</f>
        <v>57581</v>
      </c>
      <c r="M59" s="30">
        <f>바닥판단가!G16</f>
        <v>20666</v>
      </c>
      <c r="N59" s="31">
        <f>바닥판단가!G11 + 바닥판단가!G16</f>
        <v>78247</v>
      </c>
      <c r="Q59" s="36"/>
      <c r="R59" s="36"/>
      <c r="S59" s="36"/>
    </row>
    <row r="60" spans="1:19" ht="20.25" customHeight="1">
      <c r="A60" s="28" t="s">
        <v>14</v>
      </c>
      <c r="B60" s="28" t="s">
        <v>15</v>
      </c>
      <c r="C60" s="28" t="s">
        <v>16</v>
      </c>
      <c r="D60" s="28" t="s">
        <v>17</v>
      </c>
      <c r="E60" s="28" t="s">
        <v>18</v>
      </c>
      <c r="F60" s="28">
        <v>1500</v>
      </c>
      <c r="G60" s="28">
        <v>2000</v>
      </c>
      <c r="H60" s="28">
        <v>1500</v>
      </c>
      <c r="I60" s="28">
        <v>1400</v>
      </c>
      <c r="J60" s="28">
        <v>900</v>
      </c>
      <c r="K60" s="28">
        <v>600</v>
      </c>
      <c r="L60" s="30">
        <f>바닥판단가!G11</f>
        <v>57581</v>
      </c>
      <c r="M60" s="30">
        <f>바닥판단가!G17</f>
        <v>21190</v>
      </c>
      <c r="N60" s="31">
        <f>바닥판단가!G11 + 바닥판단가!G17</f>
        <v>78771</v>
      </c>
      <c r="Q60" s="36"/>
      <c r="R60" s="36"/>
      <c r="S60" s="36"/>
    </row>
    <row r="61" spans="1:19" ht="20.25" customHeight="1">
      <c r="A61" s="28" t="s">
        <v>14</v>
      </c>
      <c r="B61" s="28" t="s">
        <v>15</v>
      </c>
      <c r="C61" s="28" t="s">
        <v>16</v>
      </c>
      <c r="D61" s="28" t="s">
        <v>17</v>
      </c>
      <c r="E61" s="28" t="s">
        <v>18</v>
      </c>
      <c r="F61" s="28">
        <v>1500</v>
      </c>
      <c r="G61" s="28">
        <v>2100</v>
      </c>
      <c r="H61" s="28">
        <v>1500</v>
      </c>
      <c r="I61" s="28">
        <v>1300</v>
      </c>
      <c r="J61" s="28">
        <v>900</v>
      </c>
      <c r="K61" s="28">
        <v>800</v>
      </c>
      <c r="L61" s="30">
        <f>바닥판단가!G10</f>
        <v>55485</v>
      </c>
      <c r="M61" s="30">
        <f>바닥판단가!G19</f>
        <v>23494</v>
      </c>
      <c r="N61" s="31">
        <f>바닥판단가!G10 + 바닥판단가!G19</f>
        <v>78979</v>
      </c>
      <c r="Q61" s="36"/>
      <c r="R61" s="36"/>
      <c r="S61" s="36"/>
    </row>
    <row r="62" spans="1:19" ht="20.25" customHeight="1">
      <c r="A62" s="28" t="s">
        <v>14</v>
      </c>
      <c r="B62" s="28" t="s">
        <v>15</v>
      </c>
      <c r="C62" s="28" t="s">
        <v>16</v>
      </c>
      <c r="D62" s="28" t="s">
        <v>17</v>
      </c>
      <c r="E62" s="28" t="s">
        <v>18</v>
      </c>
      <c r="F62" s="28">
        <v>1500</v>
      </c>
      <c r="G62" s="28">
        <v>2100</v>
      </c>
      <c r="H62" s="28">
        <v>1500</v>
      </c>
      <c r="I62" s="28">
        <v>1400</v>
      </c>
      <c r="J62" s="28">
        <v>900</v>
      </c>
      <c r="K62" s="28">
        <v>700</v>
      </c>
      <c r="L62" s="30">
        <f>바닥판단가!G11</f>
        <v>57581</v>
      </c>
      <c r="M62" s="30">
        <f>바닥판단가!G18</f>
        <v>22342</v>
      </c>
      <c r="N62" s="31">
        <f>바닥판단가!G11 + 바닥판단가!G18</f>
        <v>79923</v>
      </c>
      <c r="Q62" s="36"/>
      <c r="R62" s="36"/>
      <c r="S62" s="36"/>
    </row>
    <row r="63" spans="1:19" ht="20.25" customHeight="1">
      <c r="A63" s="28" t="s">
        <v>14</v>
      </c>
      <c r="B63" s="28" t="s">
        <v>15</v>
      </c>
      <c r="C63" s="28" t="s">
        <v>16</v>
      </c>
      <c r="D63" s="28" t="s">
        <v>17</v>
      </c>
      <c r="E63" s="28" t="s">
        <v>18</v>
      </c>
      <c r="F63" s="28">
        <v>1500</v>
      </c>
      <c r="G63" s="28">
        <v>2100</v>
      </c>
      <c r="H63" s="28">
        <v>1500</v>
      </c>
      <c r="I63" s="28">
        <v>1500</v>
      </c>
      <c r="J63" s="28">
        <v>850</v>
      </c>
      <c r="K63" s="28">
        <v>600</v>
      </c>
      <c r="L63" s="30">
        <f>바닥판단가!G12</f>
        <v>59676</v>
      </c>
      <c r="M63" s="30">
        <f>바닥판단가!G16</f>
        <v>20666</v>
      </c>
      <c r="N63" s="31">
        <f>바닥판단가!G12 + 바닥판단가!G16</f>
        <v>80342</v>
      </c>
      <c r="Q63" s="36"/>
      <c r="R63" s="36"/>
      <c r="S63" s="36"/>
    </row>
    <row r="64" spans="1:19" ht="20.25" customHeight="1">
      <c r="A64" s="28" t="s">
        <v>14</v>
      </c>
      <c r="B64" s="28" t="s">
        <v>15</v>
      </c>
      <c r="C64" s="28" t="s">
        <v>16</v>
      </c>
      <c r="D64" s="28" t="s">
        <v>17</v>
      </c>
      <c r="E64" s="28" t="s">
        <v>18</v>
      </c>
      <c r="F64" s="28">
        <v>1500</v>
      </c>
      <c r="G64" s="28">
        <v>2100</v>
      </c>
      <c r="H64" s="28">
        <v>1500</v>
      </c>
      <c r="I64" s="28">
        <v>1500</v>
      </c>
      <c r="J64" s="28">
        <v>900</v>
      </c>
      <c r="K64" s="28">
        <v>600</v>
      </c>
      <c r="L64" s="30">
        <f>바닥판단가!G12</f>
        <v>59676</v>
      </c>
      <c r="M64" s="30">
        <f>바닥판단가!G17</f>
        <v>21190</v>
      </c>
      <c r="N64" s="31">
        <f>바닥판단가!G12 + 바닥판단가!G17</f>
        <v>80866</v>
      </c>
      <c r="Q64" s="36"/>
      <c r="R64" s="36"/>
      <c r="S64" s="36"/>
    </row>
    <row r="65" spans="1:19" ht="20.25" customHeight="1">
      <c r="A65" s="28" t="s">
        <v>14</v>
      </c>
      <c r="B65" s="28" t="s">
        <v>15</v>
      </c>
      <c r="C65" s="28" t="s">
        <v>16</v>
      </c>
      <c r="D65" s="28" t="s">
        <v>17</v>
      </c>
      <c r="E65" s="28" t="s">
        <v>18</v>
      </c>
      <c r="F65" s="28">
        <v>1500</v>
      </c>
      <c r="G65" s="28">
        <v>2200</v>
      </c>
      <c r="H65" s="28">
        <v>1500</v>
      </c>
      <c r="I65" s="28">
        <v>1300</v>
      </c>
      <c r="J65" s="28">
        <v>900</v>
      </c>
      <c r="K65" s="28">
        <v>900</v>
      </c>
      <c r="L65" s="30">
        <f>바닥판단가!G10</f>
        <v>55485</v>
      </c>
      <c r="M65" s="30">
        <f>바닥판단가!G20</f>
        <v>25066</v>
      </c>
      <c r="N65" s="31">
        <f>바닥판단가!G10 + 바닥판단가!G20</f>
        <v>80551</v>
      </c>
      <c r="Q65" s="36"/>
      <c r="R65" s="36"/>
      <c r="S65" s="36"/>
    </row>
    <row r="66" spans="1:19" ht="20.25" customHeight="1">
      <c r="A66" s="28" t="s">
        <v>14</v>
      </c>
      <c r="B66" s="28" t="s">
        <v>15</v>
      </c>
      <c r="C66" s="28" t="s">
        <v>16</v>
      </c>
      <c r="D66" s="28" t="s">
        <v>17</v>
      </c>
      <c r="E66" s="28" t="s">
        <v>18</v>
      </c>
      <c r="F66" s="28">
        <v>1500</v>
      </c>
      <c r="G66" s="28">
        <v>2200</v>
      </c>
      <c r="H66" s="28">
        <v>1500</v>
      </c>
      <c r="I66" s="28">
        <v>1300</v>
      </c>
      <c r="J66" s="28">
        <v>1000</v>
      </c>
      <c r="K66" s="28">
        <v>900</v>
      </c>
      <c r="L66" s="30">
        <f>바닥판단가!G10</f>
        <v>55485</v>
      </c>
      <c r="M66" s="30">
        <f>바닥판단가!G23</f>
        <v>27161</v>
      </c>
      <c r="N66" s="31">
        <f>바닥판단가!G10 + 바닥판단가!G23</f>
        <v>82646</v>
      </c>
      <c r="Q66" s="36"/>
      <c r="R66" s="36"/>
      <c r="S66" s="36"/>
    </row>
    <row r="67" spans="1:19" ht="20.25" customHeight="1">
      <c r="A67" s="28" t="s">
        <v>14</v>
      </c>
      <c r="B67" s="28" t="s">
        <v>15</v>
      </c>
      <c r="C67" s="28" t="s">
        <v>16</v>
      </c>
      <c r="D67" s="28" t="s">
        <v>17</v>
      </c>
      <c r="E67" s="28" t="s">
        <v>18</v>
      </c>
      <c r="F67" s="28">
        <v>1500</v>
      </c>
      <c r="G67" s="28">
        <v>2200</v>
      </c>
      <c r="H67" s="28">
        <v>1500</v>
      </c>
      <c r="I67" s="28">
        <v>1400</v>
      </c>
      <c r="J67" s="28">
        <v>900</v>
      </c>
      <c r="K67" s="28">
        <v>800</v>
      </c>
      <c r="L67" s="30">
        <f>바닥판단가!G11</f>
        <v>57581</v>
      </c>
      <c r="M67" s="30">
        <f>바닥판단가!G19</f>
        <v>23494</v>
      </c>
      <c r="N67" s="31">
        <f>바닥판단가!G11 + 바닥판단가!G19</f>
        <v>81075</v>
      </c>
      <c r="Q67" s="36"/>
      <c r="R67" s="36"/>
      <c r="S67" s="36"/>
    </row>
    <row r="68" spans="1:19" ht="20.25" customHeight="1">
      <c r="A68" s="28" t="s">
        <v>14</v>
      </c>
      <c r="B68" s="28" t="s">
        <v>15</v>
      </c>
      <c r="C68" s="28" t="s">
        <v>16</v>
      </c>
      <c r="D68" s="28" t="s">
        <v>17</v>
      </c>
      <c r="E68" s="28" t="s">
        <v>18</v>
      </c>
      <c r="F68" s="28">
        <v>1500</v>
      </c>
      <c r="G68" s="28">
        <v>2200</v>
      </c>
      <c r="H68" s="28">
        <v>1500</v>
      </c>
      <c r="I68" s="28">
        <v>1500</v>
      </c>
      <c r="J68" s="28">
        <v>900</v>
      </c>
      <c r="K68" s="28">
        <v>700</v>
      </c>
      <c r="L68" s="30">
        <f>바닥판단가!G12</f>
        <v>59676</v>
      </c>
      <c r="M68" s="30">
        <f>바닥판단가!G18</f>
        <v>22342</v>
      </c>
      <c r="N68" s="31">
        <f>바닥판단가!G12 + 바닥판단가!G18</f>
        <v>82018</v>
      </c>
      <c r="Q68" s="36"/>
      <c r="R68" s="36"/>
      <c r="S68" s="36"/>
    </row>
    <row r="69" spans="1:19" ht="20.25" customHeight="1">
      <c r="A69" s="28" t="s">
        <v>14</v>
      </c>
      <c r="B69" s="28" t="s">
        <v>15</v>
      </c>
      <c r="C69" s="28" t="s">
        <v>16</v>
      </c>
      <c r="D69" s="28" t="s">
        <v>17</v>
      </c>
      <c r="E69" s="28" t="s">
        <v>18</v>
      </c>
      <c r="F69" s="28">
        <v>1500</v>
      </c>
      <c r="G69" s="28">
        <v>2200</v>
      </c>
      <c r="H69" s="28">
        <v>1500</v>
      </c>
      <c r="I69" s="28">
        <v>1600</v>
      </c>
      <c r="J69" s="28">
        <v>850</v>
      </c>
      <c r="K69" s="28">
        <v>600</v>
      </c>
      <c r="L69" s="30">
        <f>바닥판단가!G13</f>
        <v>61771</v>
      </c>
      <c r="M69" s="30">
        <f>바닥판단가!G16</f>
        <v>20666</v>
      </c>
      <c r="N69" s="31">
        <f>바닥판단가!G13 + 바닥판단가!G16</f>
        <v>82437</v>
      </c>
      <c r="Q69" s="36"/>
      <c r="R69" s="36"/>
      <c r="S69" s="36"/>
    </row>
    <row r="70" spans="1:19" ht="20.25" customHeight="1">
      <c r="A70" s="28" t="s">
        <v>14</v>
      </c>
      <c r="B70" s="28" t="s">
        <v>15</v>
      </c>
      <c r="C70" s="28" t="s">
        <v>16</v>
      </c>
      <c r="D70" s="28" t="s">
        <v>17</v>
      </c>
      <c r="E70" s="28" t="s">
        <v>18</v>
      </c>
      <c r="F70" s="28">
        <v>1500</v>
      </c>
      <c r="G70" s="28">
        <v>2200</v>
      </c>
      <c r="H70" s="28">
        <v>1500</v>
      </c>
      <c r="I70" s="28">
        <v>1600</v>
      </c>
      <c r="J70" s="28">
        <v>900</v>
      </c>
      <c r="K70" s="28">
        <v>600</v>
      </c>
      <c r="L70" s="30">
        <f>바닥판단가!G13</f>
        <v>61771</v>
      </c>
      <c r="M70" s="30">
        <f>바닥판단가!G17</f>
        <v>21190</v>
      </c>
      <c r="N70" s="31">
        <f>바닥판단가!G13 + 바닥판단가!G17</f>
        <v>82961</v>
      </c>
      <c r="Q70" s="36"/>
      <c r="R70" s="36"/>
      <c r="S70" s="36"/>
    </row>
    <row r="71" spans="1:19" ht="20.25" customHeight="1">
      <c r="A71" s="28" t="s">
        <v>14</v>
      </c>
      <c r="B71" s="28" t="s">
        <v>15</v>
      </c>
      <c r="C71" s="28" t="s">
        <v>16</v>
      </c>
      <c r="D71" s="28" t="s">
        <v>17</v>
      </c>
      <c r="E71" s="28" t="s">
        <v>18</v>
      </c>
      <c r="F71" s="28">
        <v>1500</v>
      </c>
      <c r="G71" s="28">
        <v>2300</v>
      </c>
      <c r="H71" s="28">
        <v>1500</v>
      </c>
      <c r="I71" s="28">
        <v>1300</v>
      </c>
      <c r="J71" s="28">
        <v>1000</v>
      </c>
      <c r="K71" s="28">
        <v>1000</v>
      </c>
      <c r="L71" s="30">
        <f>바닥판단가!G10</f>
        <v>55485</v>
      </c>
      <c r="M71" s="30">
        <f>바닥판단가!G24</f>
        <v>29256</v>
      </c>
      <c r="N71" s="31">
        <f>바닥판단가!G10 + 바닥판단가!G24</f>
        <v>84741</v>
      </c>
      <c r="Q71" s="36"/>
      <c r="R71" s="36"/>
      <c r="S71" s="36"/>
    </row>
    <row r="72" spans="1:19" ht="20.25" customHeight="1">
      <c r="A72" s="28" t="s">
        <v>14</v>
      </c>
      <c r="B72" s="28" t="s">
        <v>15</v>
      </c>
      <c r="C72" s="28" t="s">
        <v>16</v>
      </c>
      <c r="D72" s="28" t="s">
        <v>17</v>
      </c>
      <c r="E72" s="28" t="s">
        <v>18</v>
      </c>
      <c r="F72" s="28">
        <v>1500</v>
      </c>
      <c r="G72" s="28">
        <v>2300</v>
      </c>
      <c r="H72" s="28">
        <v>1500</v>
      </c>
      <c r="I72" s="28">
        <v>1400</v>
      </c>
      <c r="J72" s="28">
        <v>900</v>
      </c>
      <c r="K72" s="28">
        <v>900</v>
      </c>
      <c r="L72" s="30">
        <f>바닥판단가!G11</f>
        <v>57581</v>
      </c>
      <c r="M72" s="30">
        <f>바닥판단가!G20</f>
        <v>25066</v>
      </c>
      <c r="N72" s="31">
        <f>바닥판단가!G11 + 바닥판단가!G20</f>
        <v>82647</v>
      </c>
      <c r="Q72" s="36"/>
      <c r="R72" s="36"/>
      <c r="S72" s="36"/>
    </row>
    <row r="73" spans="1:19" ht="20.25" customHeight="1">
      <c r="A73" s="28" t="s">
        <v>14</v>
      </c>
      <c r="B73" s="28" t="s">
        <v>15</v>
      </c>
      <c r="C73" s="28" t="s">
        <v>16</v>
      </c>
      <c r="D73" s="28" t="s">
        <v>17</v>
      </c>
      <c r="E73" s="28" t="s">
        <v>18</v>
      </c>
      <c r="F73" s="28">
        <v>1500</v>
      </c>
      <c r="G73" s="28">
        <v>2300</v>
      </c>
      <c r="H73" s="28">
        <v>1500</v>
      </c>
      <c r="I73" s="28">
        <v>1400</v>
      </c>
      <c r="J73" s="28">
        <v>1000</v>
      </c>
      <c r="K73" s="28">
        <v>900</v>
      </c>
      <c r="L73" s="30">
        <f>바닥판단가!G11</f>
        <v>57581</v>
      </c>
      <c r="M73" s="30">
        <f>바닥판단가!G23</f>
        <v>27161</v>
      </c>
      <c r="N73" s="31">
        <f>바닥판단가!G11 + 바닥판단가!G23</f>
        <v>84742</v>
      </c>
      <c r="Q73" s="36"/>
      <c r="R73" s="36"/>
      <c r="S73" s="36"/>
    </row>
    <row r="74" spans="1:19" ht="20.25" customHeight="1">
      <c r="A74" s="28" t="s">
        <v>14</v>
      </c>
      <c r="B74" s="28" t="s">
        <v>15</v>
      </c>
      <c r="C74" s="28" t="s">
        <v>16</v>
      </c>
      <c r="D74" s="28" t="s">
        <v>17</v>
      </c>
      <c r="E74" s="28" t="s">
        <v>18</v>
      </c>
      <c r="F74" s="28">
        <v>1500</v>
      </c>
      <c r="G74" s="28">
        <v>2300</v>
      </c>
      <c r="H74" s="28">
        <v>1500</v>
      </c>
      <c r="I74" s="28">
        <v>1500</v>
      </c>
      <c r="J74" s="28">
        <v>900</v>
      </c>
      <c r="K74" s="28">
        <v>800</v>
      </c>
      <c r="L74" s="30">
        <f>바닥판단가!G12</f>
        <v>59676</v>
      </c>
      <c r="M74" s="30">
        <f>바닥판단가!G19</f>
        <v>23494</v>
      </c>
      <c r="N74" s="31">
        <f>바닥판단가!G12 + 바닥판단가!G19</f>
        <v>83170</v>
      </c>
      <c r="Q74" s="36"/>
      <c r="R74" s="36"/>
      <c r="S74" s="36"/>
    </row>
    <row r="75" spans="1:19" ht="20.25" customHeight="1">
      <c r="A75" s="28" t="s">
        <v>14</v>
      </c>
      <c r="B75" s="28" t="s">
        <v>15</v>
      </c>
      <c r="C75" s="28" t="s">
        <v>16</v>
      </c>
      <c r="D75" s="28" t="s">
        <v>17</v>
      </c>
      <c r="E75" s="28" t="s">
        <v>18</v>
      </c>
      <c r="F75" s="28">
        <v>1500</v>
      </c>
      <c r="G75" s="28">
        <v>2300</v>
      </c>
      <c r="H75" s="28">
        <v>1500</v>
      </c>
      <c r="I75" s="28">
        <v>1600</v>
      </c>
      <c r="J75" s="28">
        <v>900</v>
      </c>
      <c r="K75" s="28">
        <v>700</v>
      </c>
      <c r="L75" s="30">
        <f>바닥판단가!G13</f>
        <v>61771</v>
      </c>
      <c r="M75" s="30">
        <f>바닥판단가!G18</f>
        <v>22342</v>
      </c>
      <c r="N75" s="31">
        <f>바닥판단가!G13 + 바닥판단가!G18</f>
        <v>84113</v>
      </c>
      <c r="Q75" s="36"/>
      <c r="R75" s="36"/>
      <c r="S75" s="36"/>
    </row>
    <row r="76" spans="1:19" ht="20.25" customHeight="1">
      <c r="A76" s="28" t="s">
        <v>14</v>
      </c>
      <c r="B76" s="28" t="s">
        <v>15</v>
      </c>
      <c r="C76" s="28" t="s">
        <v>16</v>
      </c>
      <c r="D76" s="28" t="s">
        <v>17</v>
      </c>
      <c r="E76" s="28" t="s">
        <v>18</v>
      </c>
      <c r="F76" s="28">
        <v>1500</v>
      </c>
      <c r="G76" s="28">
        <v>2400</v>
      </c>
      <c r="H76" s="28">
        <v>1500</v>
      </c>
      <c r="I76" s="28">
        <v>1400</v>
      </c>
      <c r="J76" s="28">
        <v>1000</v>
      </c>
      <c r="K76" s="28">
        <v>1000</v>
      </c>
      <c r="L76" s="30">
        <f>바닥판단가!G11</f>
        <v>57581</v>
      </c>
      <c r="M76" s="30">
        <f>바닥판단가!G24</f>
        <v>29256</v>
      </c>
      <c r="N76" s="31">
        <f>바닥판단가!G11 + 바닥판단가!G24</f>
        <v>86837</v>
      </c>
      <c r="Q76" s="36"/>
      <c r="R76" s="36"/>
      <c r="S76" s="36"/>
    </row>
    <row r="77" spans="1:19" ht="20.25" customHeight="1">
      <c r="A77" s="28" t="s">
        <v>14</v>
      </c>
      <c r="B77" s="28" t="s">
        <v>15</v>
      </c>
      <c r="C77" s="28" t="s">
        <v>16</v>
      </c>
      <c r="D77" s="28" t="s">
        <v>17</v>
      </c>
      <c r="E77" s="28" t="s">
        <v>18</v>
      </c>
      <c r="F77" s="28">
        <v>1500</v>
      </c>
      <c r="G77" s="28">
        <v>2400</v>
      </c>
      <c r="H77" s="28">
        <v>1500</v>
      </c>
      <c r="I77" s="28">
        <v>1500</v>
      </c>
      <c r="J77" s="28">
        <v>900</v>
      </c>
      <c r="K77" s="28">
        <v>900</v>
      </c>
      <c r="L77" s="30">
        <f>바닥판단가!G12</f>
        <v>59676</v>
      </c>
      <c r="M77" s="30">
        <f>바닥판단가!G20</f>
        <v>25066</v>
      </c>
      <c r="N77" s="31">
        <f>바닥판단가!G12 + 바닥판단가!G20</f>
        <v>84742</v>
      </c>
      <c r="Q77" s="36"/>
      <c r="R77" s="36"/>
      <c r="S77" s="36"/>
    </row>
    <row r="78" spans="1:19" ht="20.25" customHeight="1">
      <c r="A78" s="28" t="s">
        <v>14</v>
      </c>
      <c r="B78" s="28" t="s">
        <v>15</v>
      </c>
      <c r="C78" s="28" t="s">
        <v>16</v>
      </c>
      <c r="D78" s="28" t="s">
        <v>17</v>
      </c>
      <c r="E78" s="28" t="s">
        <v>18</v>
      </c>
      <c r="F78" s="28">
        <v>1500</v>
      </c>
      <c r="G78" s="28">
        <v>2400</v>
      </c>
      <c r="H78" s="28">
        <v>1500</v>
      </c>
      <c r="I78" s="28">
        <v>1500</v>
      </c>
      <c r="J78" s="28">
        <v>1000</v>
      </c>
      <c r="K78" s="28">
        <v>900</v>
      </c>
      <c r="L78" s="30">
        <f>바닥판단가!G12</f>
        <v>59676</v>
      </c>
      <c r="M78" s="30">
        <f>바닥판단가!G23</f>
        <v>27161</v>
      </c>
      <c r="N78" s="31">
        <f>바닥판단가!G12 + 바닥판단가!G23</f>
        <v>86837</v>
      </c>
      <c r="Q78" s="36"/>
      <c r="R78" s="36"/>
      <c r="S78" s="36"/>
    </row>
    <row r="79" spans="1:19" ht="20.25" customHeight="1">
      <c r="A79" s="28" t="s">
        <v>14</v>
      </c>
      <c r="B79" s="28" t="s">
        <v>15</v>
      </c>
      <c r="C79" s="28" t="s">
        <v>16</v>
      </c>
      <c r="D79" s="28" t="s">
        <v>17</v>
      </c>
      <c r="E79" s="28" t="s">
        <v>18</v>
      </c>
      <c r="F79" s="28">
        <v>1500</v>
      </c>
      <c r="G79" s="28">
        <v>2400</v>
      </c>
      <c r="H79" s="28">
        <v>1500</v>
      </c>
      <c r="I79" s="28">
        <v>1600</v>
      </c>
      <c r="J79" s="28">
        <v>900</v>
      </c>
      <c r="K79" s="28">
        <v>800</v>
      </c>
      <c r="L79" s="30">
        <f>바닥판단가!G13</f>
        <v>61771</v>
      </c>
      <c r="M79" s="30">
        <f>바닥판단가!G19</f>
        <v>23494</v>
      </c>
      <c r="N79" s="31">
        <f>바닥판단가!G13 + 바닥판단가!G19</f>
        <v>85265</v>
      </c>
      <c r="Q79" s="36"/>
      <c r="R79" s="36"/>
      <c r="S79" s="36"/>
    </row>
    <row r="80" spans="1:19" ht="20.25" customHeight="1">
      <c r="A80" s="28" t="s">
        <v>14</v>
      </c>
      <c r="B80" s="28" t="s">
        <v>15</v>
      </c>
      <c r="C80" s="28" t="s">
        <v>16</v>
      </c>
      <c r="D80" s="28" t="s">
        <v>17</v>
      </c>
      <c r="E80" s="28" t="s">
        <v>18</v>
      </c>
      <c r="F80" s="28">
        <v>1500</v>
      </c>
      <c r="G80" s="28">
        <v>2500</v>
      </c>
      <c r="H80" s="28">
        <v>1500</v>
      </c>
      <c r="I80" s="28">
        <v>1500</v>
      </c>
      <c r="J80" s="28">
        <v>1000</v>
      </c>
      <c r="K80" s="28">
        <v>1000</v>
      </c>
      <c r="L80" s="30">
        <f>바닥판단가!G12</f>
        <v>59676</v>
      </c>
      <c r="M80" s="30">
        <f>바닥판단가!G24</f>
        <v>29256</v>
      </c>
      <c r="N80" s="31">
        <f>바닥판단가!G12 + 바닥판단가!G24</f>
        <v>88932</v>
      </c>
      <c r="Q80" s="36"/>
      <c r="R80" s="36"/>
      <c r="S80" s="36"/>
    </row>
    <row r="81" spans="1:19" ht="20.25" customHeight="1">
      <c r="A81" s="28" t="s">
        <v>14</v>
      </c>
      <c r="B81" s="28" t="s">
        <v>15</v>
      </c>
      <c r="C81" s="28" t="s">
        <v>16</v>
      </c>
      <c r="D81" s="28" t="s">
        <v>17</v>
      </c>
      <c r="E81" s="28" t="s">
        <v>18</v>
      </c>
      <c r="F81" s="28">
        <v>1500</v>
      </c>
      <c r="G81" s="28">
        <v>2500</v>
      </c>
      <c r="H81" s="28">
        <v>1500</v>
      </c>
      <c r="I81" s="28">
        <v>1600</v>
      </c>
      <c r="J81" s="28">
        <v>900</v>
      </c>
      <c r="K81" s="28">
        <v>900</v>
      </c>
      <c r="L81" s="30">
        <f>바닥판단가!G13</f>
        <v>61771</v>
      </c>
      <c r="M81" s="30">
        <f>바닥판단가!G20</f>
        <v>25066</v>
      </c>
      <c r="N81" s="31">
        <f>바닥판단가!G13 + 바닥판단가!G20</f>
        <v>86837</v>
      </c>
      <c r="Q81" s="36"/>
      <c r="R81" s="36"/>
      <c r="S81" s="36"/>
    </row>
    <row r="82" spans="1:19" ht="20.25" customHeight="1">
      <c r="A82" s="28" t="s">
        <v>14</v>
      </c>
      <c r="B82" s="28" t="s">
        <v>15</v>
      </c>
      <c r="C82" s="28" t="s">
        <v>16</v>
      </c>
      <c r="D82" s="28" t="s">
        <v>17</v>
      </c>
      <c r="E82" s="28" t="s">
        <v>18</v>
      </c>
      <c r="F82" s="28">
        <v>1500</v>
      </c>
      <c r="G82" s="28">
        <v>2500</v>
      </c>
      <c r="H82" s="28">
        <v>1500</v>
      </c>
      <c r="I82" s="28">
        <v>1600</v>
      </c>
      <c r="J82" s="28">
        <v>1000</v>
      </c>
      <c r="K82" s="28">
        <v>900</v>
      </c>
      <c r="L82" s="30">
        <f>바닥판단가!G13</f>
        <v>61771</v>
      </c>
      <c r="M82" s="30">
        <f>바닥판단가!G23</f>
        <v>27161</v>
      </c>
      <c r="N82" s="31">
        <f>바닥판단가!G13 + 바닥판단가!G23</f>
        <v>88932</v>
      </c>
      <c r="Q82" s="36"/>
      <c r="R82" s="36"/>
      <c r="S82" s="36"/>
    </row>
    <row r="83" spans="1:19" ht="20.25" customHeight="1">
      <c r="A83" s="28" t="s">
        <v>14</v>
      </c>
      <c r="B83" s="28" t="s">
        <v>15</v>
      </c>
      <c r="C83" s="28" t="s">
        <v>16</v>
      </c>
      <c r="D83" s="28" t="s">
        <v>17</v>
      </c>
      <c r="E83" s="28" t="s">
        <v>18</v>
      </c>
      <c r="F83" s="28">
        <v>1600</v>
      </c>
      <c r="G83" s="28">
        <v>2200</v>
      </c>
      <c r="H83" s="28">
        <v>1600</v>
      </c>
      <c r="I83" s="28">
        <v>1300</v>
      </c>
      <c r="J83" s="28">
        <v>900</v>
      </c>
      <c r="K83" s="28">
        <v>900</v>
      </c>
      <c r="L83" s="30">
        <f>바닥판단가!G15</f>
        <v>130000</v>
      </c>
      <c r="M83" s="30">
        <f>바닥판단가!G20</f>
        <v>25066</v>
      </c>
      <c r="N83" s="31">
        <f>바닥판단가!G15 + 바닥판단가!G20</f>
        <v>155066</v>
      </c>
      <c r="Q83" s="36"/>
      <c r="R83" s="36"/>
      <c r="S83" s="36"/>
    </row>
    <row r="84" spans="1:19" ht="20.25" customHeight="1">
      <c r="A84" s="47" t="s">
        <v>14</v>
      </c>
      <c r="B84" s="47" t="s">
        <v>15</v>
      </c>
      <c r="C84" s="47" t="s">
        <v>16</v>
      </c>
      <c r="D84" s="47" t="s">
        <v>17</v>
      </c>
      <c r="E84" s="47" t="s">
        <v>18</v>
      </c>
      <c r="F84" s="47">
        <v>1600</v>
      </c>
      <c r="G84" s="47">
        <v>2200</v>
      </c>
      <c r="H84" s="47">
        <v>1600</v>
      </c>
      <c r="I84" s="47">
        <v>1250</v>
      </c>
      <c r="J84" s="47">
        <v>900</v>
      </c>
      <c r="K84" s="47">
        <v>950</v>
      </c>
      <c r="L84" s="50">
        <f>바닥판단가!G15</f>
        <v>130000</v>
      </c>
      <c r="M84" s="50">
        <f>바닥판단가!G21</f>
        <v>0</v>
      </c>
      <c r="N84" s="51">
        <f>바닥판단가!G15 + 바닥판단가!G21</f>
        <v>130000</v>
      </c>
      <c r="Q84" s="36"/>
      <c r="R84" s="36"/>
      <c r="S84" s="36"/>
    </row>
    <row r="85" spans="1:19" ht="20.25" customHeight="1">
      <c r="A85" s="28" t="s">
        <v>14</v>
      </c>
      <c r="B85" s="28" t="s">
        <v>15</v>
      </c>
      <c r="C85" s="28" t="s">
        <v>19</v>
      </c>
      <c r="D85" s="28" t="s">
        <v>17</v>
      </c>
      <c r="E85" s="28" t="s">
        <v>20</v>
      </c>
      <c r="F85" s="28">
        <v>1300</v>
      </c>
      <c r="G85" s="28">
        <v>1300</v>
      </c>
      <c r="H85" s="28" t="s">
        <v>21</v>
      </c>
      <c r="I85" s="28" t="s">
        <v>21</v>
      </c>
      <c r="J85" s="28" t="s">
        <v>21</v>
      </c>
      <c r="K85" s="28" t="s">
        <v>21</v>
      </c>
      <c r="L85" s="28" t="s">
        <v>21</v>
      </c>
      <c r="M85" s="28" t="s">
        <v>21</v>
      </c>
      <c r="N85" s="31">
        <f>바닥판단가!G2</f>
        <v>51610</v>
      </c>
      <c r="Q85" s="36"/>
      <c r="R85" s="36"/>
      <c r="S85" s="36"/>
    </row>
    <row r="86" spans="1:19" ht="20.25" customHeight="1">
      <c r="A86" s="28" t="s">
        <v>14</v>
      </c>
      <c r="B86" s="28" t="s">
        <v>15</v>
      </c>
      <c r="C86" s="28" t="s">
        <v>19</v>
      </c>
      <c r="D86" s="28" t="s">
        <v>17</v>
      </c>
      <c r="E86" s="28" t="s">
        <v>20</v>
      </c>
      <c r="F86" s="28">
        <v>1300</v>
      </c>
      <c r="G86" s="28">
        <v>1400</v>
      </c>
      <c r="H86" s="28" t="s">
        <v>21</v>
      </c>
      <c r="I86" s="28" t="s">
        <v>21</v>
      </c>
      <c r="J86" s="28" t="s">
        <v>21</v>
      </c>
      <c r="K86" s="28" t="s">
        <v>21</v>
      </c>
      <c r="L86" s="28" t="s">
        <v>21</v>
      </c>
      <c r="M86" s="28" t="s">
        <v>21</v>
      </c>
      <c r="N86" s="31">
        <f>바닥판단가!G3</f>
        <v>53600</v>
      </c>
      <c r="Q86" s="36"/>
      <c r="R86" s="36"/>
      <c r="S86" s="36"/>
    </row>
    <row r="87" spans="1:19" ht="20.25" customHeight="1">
      <c r="A87" s="28" t="s">
        <v>14</v>
      </c>
      <c r="B87" s="28" t="s">
        <v>15</v>
      </c>
      <c r="C87" s="28" t="s">
        <v>19</v>
      </c>
      <c r="D87" s="28" t="s">
        <v>17</v>
      </c>
      <c r="E87" s="28" t="s">
        <v>20</v>
      </c>
      <c r="F87" s="28">
        <v>1300</v>
      </c>
      <c r="G87" s="28">
        <v>1500</v>
      </c>
      <c r="H87" s="28" t="s">
        <v>21</v>
      </c>
      <c r="I87" s="28" t="s">
        <v>21</v>
      </c>
      <c r="J87" s="28" t="s">
        <v>21</v>
      </c>
      <c r="K87" s="28" t="s">
        <v>21</v>
      </c>
      <c r="L87" s="28" t="s">
        <v>21</v>
      </c>
      <c r="M87" s="28" t="s">
        <v>21</v>
      </c>
      <c r="N87" s="31">
        <f>바닥판단가!G4</f>
        <v>55485</v>
      </c>
      <c r="Q87" s="36" ph="1"/>
      <c r="R87" s="36"/>
      <c r="S87" s="36"/>
    </row>
    <row r="88" spans="1:19" ht="20.25" customHeight="1">
      <c r="A88" s="28" t="s">
        <v>14</v>
      </c>
      <c r="B88" s="28" t="s">
        <v>15</v>
      </c>
      <c r="C88" s="28" t="s">
        <v>19</v>
      </c>
      <c r="D88" s="28" t="s">
        <v>17</v>
      </c>
      <c r="E88" s="28" t="s">
        <v>20</v>
      </c>
      <c r="F88" s="28">
        <v>1300</v>
      </c>
      <c r="G88" s="28">
        <v>1600</v>
      </c>
      <c r="H88" s="28" t="s">
        <v>21</v>
      </c>
      <c r="I88" s="28" t="s">
        <v>21</v>
      </c>
      <c r="J88" s="28" t="s">
        <v>21</v>
      </c>
      <c r="K88" s="28" t="s">
        <v>21</v>
      </c>
      <c r="L88" s="28" t="s">
        <v>21</v>
      </c>
      <c r="M88" s="28" t="s">
        <v>21</v>
      </c>
      <c r="N88" s="31">
        <f>바닥판단가!G5</f>
        <v>57790</v>
      </c>
      <c r="Q88" s="36"/>
      <c r="R88" s="36"/>
      <c r="S88" s="36"/>
    </row>
    <row r="89" spans="1:19" ht="20.25" customHeight="1">
      <c r="A89" s="28" t="s">
        <v>14</v>
      </c>
      <c r="B89" s="28" t="s">
        <v>15</v>
      </c>
      <c r="C89" s="28" t="s">
        <v>19</v>
      </c>
      <c r="D89" s="28" t="s">
        <v>17</v>
      </c>
      <c r="E89" s="28" t="s">
        <v>20</v>
      </c>
      <c r="F89" s="28">
        <v>1400</v>
      </c>
      <c r="G89" s="28">
        <v>1300</v>
      </c>
      <c r="H89" s="28" t="s">
        <v>21</v>
      </c>
      <c r="I89" s="28" t="s">
        <v>21</v>
      </c>
      <c r="J89" s="28" t="s">
        <v>21</v>
      </c>
      <c r="K89" s="28" t="s">
        <v>21</v>
      </c>
      <c r="L89" s="28" t="s">
        <v>21</v>
      </c>
      <c r="M89" s="28" t="s">
        <v>21</v>
      </c>
      <c r="N89" s="31">
        <f>바닥판단가!G6</f>
        <v>53600</v>
      </c>
      <c r="Q89" s="36"/>
      <c r="R89" s="36"/>
      <c r="S89" s="36"/>
    </row>
    <row r="90" spans="1:19" ht="20.25" customHeight="1">
      <c r="A90" s="28" t="s">
        <v>14</v>
      </c>
      <c r="B90" s="28" t="s">
        <v>15</v>
      </c>
      <c r="C90" s="28" t="s">
        <v>19</v>
      </c>
      <c r="D90" s="28" t="s">
        <v>17</v>
      </c>
      <c r="E90" s="28" t="s">
        <v>20</v>
      </c>
      <c r="F90" s="28">
        <v>1400</v>
      </c>
      <c r="G90" s="28">
        <v>1400</v>
      </c>
      <c r="H90" s="28" t="s">
        <v>21</v>
      </c>
      <c r="I90" s="28" t="s">
        <v>21</v>
      </c>
      <c r="J90" s="28" t="s">
        <v>21</v>
      </c>
      <c r="K90" s="28" t="s">
        <v>21</v>
      </c>
      <c r="L90" s="28" t="s">
        <v>21</v>
      </c>
      <c r="M90" s="28" t="s">
        <v>21</v>
      </c>
      <c r="N90" s="31">
        <f>바닥판단가!G7</f>
        <v>55695</v>
      </c>
      <c r="Q90" s="36"/>
      <c r="R90" s="36"/>
      <c r="S90" s="36"/>
    </row>
    <row r="91" spans="1:19" ht="20.25" customHeight="1">
      <c r="A91" s="28" t="s">
        <v>14</v>
      </c>
      <c r="B91" s="28" t="s">
        <v>15</v>
      </c>
      <c r="C91" s="28" t="s">
        <v>19</v>
      </c>
      <c r="D91" s="28" t="s">
        <v>17</v>
      </c>
      <c r="E91" s="28" t="s">
        <v>20</v>
      </c>
      <c r="F91" s="28">
        <v>1400</v>
      </c>
      <c r="G91" s="28">
        <v>1500</v>
      </c>
      <c r="H91" s="28" t="s">
        <v>21</v>
      </c>
      <c r="I91" s="28" t="s">
        <v>21</v>
      </c>
      <c r="J91" s="28" t="s">
        <v>21</v>
      </c>
      <c r="K91" s="28" t="s">
        <v>21</v>
      </c>
      <c r="L91" s="28" t="s">
        <v>21</v>
      </c>
      <c r="M91" s="28" t="s">
        <v>21</v>
      </c>
      <c r="N91" s="31">
        <f>바닥판단가!G8</f>
        <v>57581</v>
      </c>
      <c r="Q91" s="36"/>
      <c r="R91" s="36"/>
      <c r="S91" s="36"/>
    </row>
    <row r="92" spans="1:19" ht="20.25" customHeight="1">
      <c r="A92" s="28" t="s">
        <v>14</v>
      </c>
      <c r="B92" s="28" t="s">
        <v>15</v>
      </c>
      <c r="C92" s="28" t="s">
        <v>19</v>
      </c>
      <c r="D92" s="28" t="s">
        <v>17</v>
      </c>
      <c r="E92" s="28" t="s">
        <v>20</v>
      </c>
      <c r="F92" s="28">
        <v>1400</v>
      </c>
      <c r="G92" s="28">
        <v>1600</v>
      </c>
      <c r="H92" s="28" t="s">
        <v>21</v>
      </c>
      <c r="I92" s="28" t="s">
        <v>21</v>
      </c>
      <c r="J92" s="28" t="s">
        <v>21</v>
      </c>
      <c r="K92" s="28" t="s">
        <v>21</v>
      </c>
      <c r="L92" s="28" t="s">
        <v>21</v>
      </c>
      <c r="M92" s="28" t="s">
        <v>21</v>
      </c>
      <c r="N92" s="31">
        <f>바닥판단가!G9</f>
        <v>59676</v>
      </c>
      <c r="Q92" s="36"/>
      <c r="R92" s="36"/>
      <c r="S92" s="36"/>
    </row>
    <row r="93" spans="1:19" ht="20.25" customHeight="1">
      <c r="A93" s="28" t="s">
        <v>14</v>
      </c>
      <c r="B93" s="28" t="s">
        <v>15</v>
      </c>
      <c r="C93" s="28" t="s">
        <v>19</v>
      </c>
      <c r="D93" s="28" t="s">
        <v>17</v>
      </c>
      <c r="E93" s="28" t="s">
        <v>20</v>
      </c>
      <c r="F93" s="28">
        <v>1500</v>
      </c>
      <c r="G93" s="28">
        <v>1300</v>
      </c>
      <c r="H93" s="28" t="s">
        <v>21</v>
      </c>
      <c r="I93" s="28" t="s">
        <v>21</v>
      </c>
      <c r="J93" s="28" t="s">
        <v>21</v>
      </c>
      <c r="K93" s="28" t="s">
        <v>21</v>
      </c>
      <c r="L93" s="28" t="s">
        <v>21</v>
      </c>
      <c r="M93" s="28" t="s">
        <v>21</v>
      </c>
      <c r="N93" s="31">
        <f>바닥판단가!G10</f>
        <v>55485</v>
      </c>
      <c r="Q93" s="36"/>
      <c r="R93" s="36"/>
      <c r="S93" s="36"/>
    </row>
    <row r="94" spans="1:19" ht="20.25" customHeight="1">
      <c r="A94" s="28" t="s">
        <v>14</v>
      </c>
      <c r="B94" s="28" t="s">
        <v>15</v>
      </c>
      <c r="C94" s="28" t="s">
        <v>19</v>
      </c>
      <c r="D94" s="28" t="s">
        <v>17</v>
      </c>
      <c r="E94" s="28" t="s">
        <v>20</v>
      </c>
      <c r="F94" s="28">
        <v>1500</v>
      </c>
      <c r="G94" s="28">
        <v>1400</v>
      </c>
      <c r="H94" s="28" t="s">
        <v>21</v>
      </c>
      <c r="I94" s="28" t="s">
        <v>21</v>
      </c>
      <c r="J94" s="28" t="s">
        <v>21</v>
      </c>
      <c r="K94" s="28" t="s">
        <v>21</v>
      </c>
      <c r="L94" s="28" t="s">
        <v>21</v>
      </c>
      <c r="M94" s="28" t="s">
        <v>21</v>
      </c>
      <c r="N94" s="31">
        <f>바닥판단가!G11</f>
        <v>57581</v>
      </c>
      <c r="Q94" s="36"/>
      <c r="R94" s="36"/>
      <c r="S94" s="36"/>
    </row>
    <row r="95" spans="1:19" ht="20.25" customHeight="1">
      <c r="A95" s="28" t="s">
        <v>14</v>
      </c>
      <c r="B95" s="28" t="s">
        <v>15</v>
      </c>
      <c r="C95" s="28" t="s">
        <v>19</v>
      </c>
      <c r="D95" s="28" t="s">
        <v>17</v>
      </c>
      <c r="E95" s="28" t="s">
        <v>20</v>
      </c>
      <c r="F95" s="28">
        <v>1500</v>
      </c>
      <c r="G95" s="28">
        <v>1500</v>
      </c>
      <c r="H95" s="28" t="s">
        <v>21</v>
      </c>
      <c r="I95" s="28" t="s">
        <v>21</v>
      </c>
      <c r="J95" s="28" t="s">
        <v>21</v>
      </c>
      <c r="K95" s="28" t="s">
        <v>21</v>
      </c>
      <c r="L95" s="28" t="s">
        <v>21</v>
      </c>
      <c r="M95" s="28" t="s">
        <v>21</v>
      </c>
      <c r="N95" s="31">
        <f>바닥판단가!G12</f>
        <v>59676</v>
      </c>
      <c r="Q95" s="36"/>
      <c r="R95" s="36"/>
      <c r="S95" s="36"/>
    </row>
    <row r="96" spans="1:19" ht="20.25" customHeight="1">
      <c r="A96" s="28" t="s">
        <v>14</v>
      </c>
      <c r="B96" s="28" t="s">
        <v>15</v>
      </c>
      <c r="C96" s="28" t="s">
        <v>19</v>
      </c>
      <c r="D96" s="28" t="s">
        <v>17</v>
      </c>
      <c r="E96" s="28" t="s">
        <v>20</v>
      </c>
      <c r="F96" s="28">
        <v>1500</v>
      </c>
      <c r="G96" s="28">
        <v>1600</v>
      </c>
      <c r="H96" s="28" t="s">
        <v>21</v>
      </c>
      <c r="I96" s="28" t="s">
        <v>21</v>
      </c>
      <c r="J96" s="28" t="s">
        <v>21</v>
      </c>
      <c r="K96" s="28" t="s">
        <v>21</v>
      </c>
      <c r="L96" s="28" t="s">
        <v>21</v>
      </c>
      <c r="M96" s="28" t="s">
        <v>21</v>
      </c>
      <c r="N96" s="31">
        <f>바닥판단가!G13</f>
        <v>61771</v>
      </c>
      <c r="Q96" s="36"/>
      <c r="R96" s="36"/>
      <c r="S96" s="36"/>
    </row>
    <row r="97" spans="1:19" ht="20.25" customHeight="1">
      <c r="A97" s="28" t="s">
        <v>14</v>
      </c>
      <c r="B97" s="28" t="s">
        <v>22</v>
      </c>
      <c r="C97" s="28" t="s">
        <v>16</v>
      </c>
      <c r="D97" s="28" t="s">
        <v>17</v>
      </c>
      <c r="E97" s="28" t="s">
        <v>20</v>
      </c>
      <c r="F97" s="28">
        <v>1500</v>
      </c>
      <c r="G97" s="28">
        <v>2300</v>
      </c>
      <c r="H97" s="28" t="s">
        <v>21</v>
      </c>
      <c r="I97" s="28" t="s">
        <v>21</v>
      </c>
      <c r="J97" s="28" t="s">
        <v>21</v>
      </c>
      <c r="K97" s="28" t="s">
        <v>21</v>
      </c>
      <c r="L97" s="28" t="s">
        <v>21</v>
      </c>
      <c r="M97" s="28" t="s">
        <v>21</v>
      </c>
      <c r="N97" s="31">
        <f>바닥판단가!G61</f>
        <v>111636</v>
      </c>
      <c r="Q97" s="36"/>
      <c r="R97" s="36"/>
      <c r="S97" s="36"/>
    </row>
    <row r="98" spans="1:19" ht="20.25" customHeight="1">
      <c r="A98" s="28" t="s">
        <v>14</v>
      </c>
      <c r="B98" s="28" t="s">
        <v>22</v>
      </c>
      <c r="C98" s="28" t="s">
        <v>16</v>
      </c>
      <c r="D98" s="28" t="s">
        <v>17</v>
      </c>
      <c r="E98" s="28" t="s">
        <v>20</v>
      </c>
      <c r="F98" s="28">
        <v>1500</v>
      </c>
      <c r="G98" s="28">
        <v>2400</v>
      </c>
      <c r="H98" s="28" t="s">
        <v>21</v>
      </c>
      <c r="I98" s="28" t="s">
        <v>21</v>
      </c>
      <c r="J98" s="28" t="s">
        <v>21</v>
      </c>
      <c r="K98" s="28" t="s">
        <v>21</v>
      </c>
      <c r="L98" s="28" t="s">
        <v>21</v>
      </c>
      <c r="M98" s="28" t="s">
        <v>21</v>
      </c>
      <c r="N98" s="31">
        <f>바닥판단가!G62</f>
        <v>114255</v>
      </c>
      <c r="Q98" s="36"/>
      <c r="R98" s="36"/>
      <c r="S98" s="36"/>
    </row>
    <row r="99" spans="1:19" ht="20.25" customHeight="1">
      <c r="A99" s="28" t="s">
        <v>14</v>
      </c>
      <c r="B99" s="28" t="s">
        <v>22</v>
      </c>
      <c r="C99" s="28" t="s">
        <v>19</v>
      </c>
      <c r="D99" s="28" t="s">
        <v>17</v>
      </c>
      <c r="E99" s="28" t="s">
        <v>20</v>
      </c>
      <c r="F99" s="28">
        <v>1600</v>
      </c>
      <c r="G99" s="28">
        <v>2400</v>
      </c>
      <c r="H99" s="28" t="s">
        <v>21</v>
      </c>
      <c r="I99" s="28" t="s">
        <v>21</v>
      </c>
      <c r="J99" s="28" t="s">
        <v>21</v>
      </c>
      <c r="K99" s="28" t="s">
        <v>21</v>
      </c>
      <c r="L99" s="28" t="s">
        <v>21</v>
      </c>
      <c r="M99" s="28" t="s">
        <v>21</v>
      </c>
      <c r="N99" s="31">
        <f>바닥판단가!G63</f>
        <v>214100</v>
      </c>
      <c r="Q99" s="36"/>
      <c r="R99" s="36"/>
      <c r="S99" s="36"/>
    </row>
    <row r="100" spans="1:19" ht="20.25" customHeight="1">
      <c r="A100" s="28" t="s">
        <v>14</v>
      </c>
      <c r="B100" s="28" t="s">
        <v>22</v>
      </c>
      <c r="C100" s="28" t="s">
        <v>19</v>
      </c>
      <c r="D100" s="28" t="s">
        <v>23</v>
      </c>
      <c r="E100" s="28" t="s">
        <v>20</v>
      </c>
      <c r="F100" s="28">
        <v>1600</v>
      </c>
      <c r="G100" s="28">
        <v>2400</v>
      </c>
      <c r="H100" s="28" t="s">
        <v>21</v>
      </c>
      <c r="I100" s="28" t="s">
        <v>21</v>
      </c>
      <c r="J100" s="28" t="s">
        <v>21</v>
      </c>
      <c r="K100" s="28" t="s">
        <v>21</v>
      </c>
      <c r="L100" s="28" t="s">
        <v>21</v>
      </c>
      <c r="M100" s="28" t="s">
        <v>21</v>
      </c>
      <c r="N100" s="31">
        <f>바닥판단가!G64</f>
        <v>214100</v>
      </c>
      <c r="Q100" s="36"/>
      <c r="R100" s="36"/>
      <c r="S100" s="36"/>
    </row>
    <row r="101" spans="1:19" ht="20.25" customHeight="1">
      <c r="A101" s="28" t="s">
        <v>24</v>
      </c>
      <c r="B101" s="28" t="s">
        <v>15</v>
      </c>
      <c r="C101" s="28" t="s">
        <v>16</v>
      </c>
      <c r="D101" s="28" t="s">
        <v>17</v>
      </c>
      <c r="E101" s="28" t="s">
        <v>18</v>
      </c>
      <c r="F101" s="28">
        <v>1450</v>
      </c>
      <c r="G101" s="28">
        <v>2100</v>
      </c>
      <c r="H101" s="28">
        <v>1450</v>
      </c>
      <c r="I101" s="28">
        <v>1200</v>
      </c>
      <c r="J101" s="28">
        <v>900</v>
      </c>
      <c r="K101" s="28">
        <v>900</v>
      </c>
      <c r="L101" s="30">
        <f>바닥판단가!G25</f>
        <v>50000</v>
      </c>
      <c r="M101" s="30">
        <f>바닥판단가!G42</f>
        <v>50017</v>
      </c>
      <c r="N101" s="31">
        <f>바닥판단가!G25 + 바닥판단가!G42</f>
        <v>100017</v>
      </c>
    </row>
    <row r="102" spans="1:19" ht="20.25" customHeight="1">
      <c r="A102" s="28" t="s">
        <v>24</v>
      </c>
      <c r="B102" s="28" t="s">
        <v>15</v>
      </c>
      <c r="C102" s="28" t="s">
        <v>16</v>
      </c>
      <c r="D102" s="28" t="s">
        <v>17</v>
      </c>
      <c r="E102" s="28" t="s">
        <v>18</v>
      </c>
      <c r="F102" s="28">
        <v>1500</v>
      </c>
      <c r="G102" s="28">
        <v>2100</v>
      </c>
      <c r="H102" s="28">
        <v>1500</v>
      </c>
      <c r="I102" s="28">
        <v>1200</v>
      </c>
      <c r="J102" s="28">
        <v>900</v>
      </c>
      <c r="K102" s="28">
        <v>900</v>
      </c>
      <c r="L102" s="30">
        <f>바닥판단가!G26</f>
        <v>50001</v>
      </c>
      <c r="M102" s="30">
        <f>바닥판단가!G42</f>
        <v>50017</v>
      </c>
      <c r="N102" s="31">
        <f>바닥판단가!G26 + 바닥판단가!G42</f>
        <v>100018</v>
      </c>
    </row>
    <row r="103" spans="1:19" ht="20.25" customHeight="1">
      <c r="A103" s="28" t="s">
        <v>24</v>
      </c>
      <c r="B103" s="28" t="s">
        <v>15</v>
      </c>
      <c r="C103" s="28" t="s">
        <v>16</v>
      </c>
      <c r="D103" s="28" t="s">
        <v>17</v>
      </c>
      <c r="E103" s="28" t="s">
        <v>18</v>
      </c>
      <c r="F103" s="28">
        <v>1500</v>
      </c>
      <c r="G103" s="28">
        <v>2200</v>
      </c>
      <c r="H103" s="28">
        <v>1500</v>
      </c>
      <c r="I103" s="28">
        <v>1300</v>
      </c>
      <c r="J103" s="28">
        <v>1100</v>
      </c>
      <c r="K103" s="28">
        <v>900</v>
      </c>
      <c r="L103" s="30">
        <f>바닥판단가!G27</f>
        <v>50002</v>
      </c>
      <c r="M103" s="30">
        <f>바닥판단가!G43</f>
        <v>50018</v>
      </c>
      <c r="N103" s="31">
        <f>바닥판단가!G27 + 바닥판단가!G43</f>
        <v>100020</v>
      </c>
    </row>
    <row r="104" spans="1:19" ht="20.25" customHeight="1">
      <c r="A104" s="28" t="s">
        <v>24</v>
      </c>
      <c r="B104" s="28" t="s">
        <v>15</v>
      </c>
      <c r="C104" s="28" t="s">
        <v>16</v>
      </c>
      <c r="D104" s="28" t="s">
        <v>17</v>
      </c>
      <c r="E104" s="28" t="s">
        <v>18</v>
      </c>
      <c r="F104" s="28">
        <v>1500</v>
      </c>
      <c r="G104" s="28">
        <v>2500</v>
      </c>
      <c r="H104" s="28">
        <v>1500</v>
      </c>
      <c r="I104" s="28">
        <v>1400</v>
      </c>
      <c r="J104" s="28">
        <v>900</v>
      </c>
      <c r="K104" s="28">
        <v>1100</v>
      </c>
      <c r="L104" s="30">
        <f>바닥판단가!G28</f>
        <v>50003</v>
      </c>
      <c r="M104" s="30">
        <f>바닥판단가!G44</f>
        <v>50019</v>
      </c>
      <c r="N104" s="31">
        <f>바닥판단가!G28 + 바닥판단가!G44</f>
        <v>100022</v>
      </c>
    </row>
    <row r="105" spans="1:19" ht="20.25" customHeight="1">
      <c r="A105" s="28" t="s">
        <v>24</v>
      </c>
      <c r="B105" s="28" t="s">
        <v>15</v>
      </c>
      <c r="C105" s="28" t="s">
        <v>16</v>
      </c>
      <c r="D105" s="28" t="s">
        <v>17</v>
      </c>
      <c r="E105" s="28" t="s">
        <v>18</v>
      </c>
      <c r="F105" s="28">
        <v>1500</v>
      </c>
      <c r="G105" s="28">
        <v>2600</v>
      </c>
      <c r="H105" s="28">
        <v>1500</v>
      </c>
      <c r="I105" s="28">
        <v>1600</v>
      </c>
      <c r="J105" s="28">
        <v>1000</v>
      </c>
      <c r="K105" s="28">
        <v>1000</v>
      </c>
      <c r="L105" s="30">
        <f>바닥판단가!G29</f>
        <v>50004</v>
      </c>
      <c r="M105" s="30">
        <f>바닥판단가!G45</f>
        <v>50020</v>
      </c>
      <c r="N105" s="31">
        <f>바닥판단가!G29 + 바닥판단가!G45</f>
        <v>100024</v>
      </c>
    </row>
    <row r="106" spans="1:19" ht="20.25" customHeight="1">
      <c r="A106" s="28" t="s">
        <v>24</v>
      </c>
      <c r="B106" s="28" t="s">
        <v>15</v>
      </c>
      <c r="C106" s="28" t="s">
        <v>16</v>
      </c>
      <c r="D106" s="28" t="s">
        <v>17</v>
      </c>
      <c r="E106" s="28" t="s">
        <v>18</v>
      </c>
      <c r="F106" s="28">
        <v>1600</v>
      </c>
      <c r="G106" s="28">
        <v>2200</v>
      </c>
      <c r="H106" s="28">
        <v>1600</v>
      </c>
      <c r="I106" s="28">
        <v>1250</v>
      </c>
      <c r="J106" s="28">
        <v>900</v>
      </c>
      <c r="K106" s="28">
        <v>950</v>
      </c>
      <c r="L106" s="30">
        <f>바닥판단가!G30</f>
        <v>50005</v>
      </c>
      <c r="M106" s="30">
        <f>바닥판단가!G46</f>
        <v>50021</v>
      </c>
      <c r="N106" s="31">
        <f>바닥판단가!G30 + 바닥판단가!G46</f>
        <v>100026</v>
      </c>
    </row>
    <row r="107" spans="1:19" ht="20.25" customHeight="1">
      <c r="A107" s="28" t="s">
        <v>24</v>
      </c>
      <c r="B107" s="28" t="s">
        <v>15</v>
      </c>
      <c r="C107" s="28" t="s">
        <v>16</v>
      </c>
      <c r="D107" s="28" t="s">
        <v>17</v>
      </c>
      <c r="E107" s="28" t="s">
        <v>18</v>
      </c>
      <c r="F107" s="28">
        <v>1600</v>
      </c>
      <c r="G107" s="28">
        <v>2200</v>
      </c>
      <c r="H107" s="28">
        <v>1600</v>
      </c>
      <c r="I107" s="28">
        <v>1300</v>
      </c>
      <c r="J107" s="28">
        <v>900</v>
      </c>
      <c r="K107" s="28">
        <v>900</v>
      </c>
      <c r="L107" s="30">
        <f>바닥판단가!G31</f>
        <v>50006</v>
      </c>
      <c r="M107" s="30">
        <f>바닥판단가!G42</f>
        <v>50017</v>
      </c>
      <c r="N107" s="31">
        <f>바닥판단가!G31 + 바닥판단가!G42</f>
        <v>100023</v>
      </c>
    </row>
    <row r="108" spans="1:19" ht="20.25" customHeight="1">
      <c r="A108" s="28" t="s">
        <v>24</v>
      </c>
      <c r="B108" s="28" t="s">
        <v>15</v>
      </c>
      <c r="C108" s="28" t="s">
        <v>16</v>
      </c>
      <c r="D108" s="28" t="s">
        <v>17</v>
      </c>
      <c r="E108" s="28" t="s">
        <v>18</v>
      </c>
      <c r="F108" s="28">
        <v>1600</v>
      </c>
      <c r="G108" s="28">
        <v>2200</v>
      </c>
      <c r="H108" s="28">
        <v>1300</v>
      </c>
      <c r="I108" s="28">
        <v>1600</v>
      </c>
      <c r="J108" s="28">
        <v>900</v>
      </c>
      <c r="K108" s="28">
        <v>900</v>
      </c>
      <c r="L108" s="30">
        <f>바닥판단가!G32</f>
        <v>50007</v>
      </c>
      <c r="M108" s="30">
        <f>바닥판단가!G42</f>
        <v>50017</v>
      </c>
      <c r="N108" s="31">
        <f>바닥판단가!G32 + 바닥판단가!G42</f>
        <v>100024</v>
      </c>
    </row>
    <row r="109" spans="1:19" ht="20.25" customHeight="1">
      <c r="A109" s="28" t="s">
        <v>24</v>
      </c>
      <c r="B109" s="28" t="s">
        <v>15</v>
      </c>
      <c r="C109" s="28" t="s">
        <v>16</v>
      </c>
      <c r="D109" s="28" t="s">
        <v>17</v>
      </c>
      <c r="E109" s="28" t="s">
        <v>18</v>
      </c>
      <c r="F109" s="28">
        <v>1600</v>
      </c>
      <c r="G109" s="28">
        <v>2300</v>
      </c>
      <c r="H109" s="28">
        <v>1600</v>
      </c>
      <c r="I109" s="28">
        <v>1350</v>
      </c>
      <c r="J109" s="28">
        <v>900</v>
      </c>
      <c r="K109" s="28">
        <v>950</v>
      </c>
      <c r="L109" s="30">
        <f>바닥판단가!G33</f>
        <v>50008</v>
      </c>
      <c r="M109" s="30">
        <f>바닥판단가!G46</f>
        <v>50021</v>
      </c>
      <c r="N109" s="31">
        <f>바닥판단가!G33 + 바닥판단가!G46</f>
        <v>100029</v>
      </c>
    </row>
    <row r="110" spans="1:19" ht="20.25" customHeight="1">
      <c r="A110" s="28" t="s">
        <v>24</v>
      </c>
      <c r="B110" s="28" t="s">
        <v>15</v>
      </c>
      <c r="C110" s="28" t="s">
        <v>16</v>
      </c>
      <c r="D110" s="28" t="s">
        <v>17</v>
      </c>
      <c r="E110" s="28" t="s">
        <v>18</v>
      </c>
      <c r="F110" s="28">
        <v>1700</v>
      </c>
      <c r="G110" s="28">
        <v>2200</v>
      </c>
      <c r="H110" s="28">
        <v>1700</v>
      </c>
      <c r="I110" s="28">
        <v>1250</v>
      </c>
      <c r="J110" s="28">
        <v>1000</v>
      </c>
      <c r="K110" s="28">
        <v>950</v>
      </c>
      <c r="L110" s="30">
        <f>바닥판단가!G34</f>
        <v>50009</v>
      </c>
      <c r="M110" s="30">
        <f>바닥판단가!G47</f>
        <v>50022</v>
      </c>
      <c r="N110" s="31">
        <f>바닥판단가!G34 + 바닥판단가!G47</f>
        <v>100031</v>
      </c>
    </row>
    <row r="111" spans="1:19" ht="20.25" customHeight="1">
      <c r="A111" s="28" t="s">
        <v>24</v>
      </c>
      <c r="B111" s="28" t="s">
        <v>15</v>
      </c>
      <c r="C111" s="28" t="s">
        <v>16</v>
      </c>
      <c r="D111" s="28" t="s">
        <v>17</v>
      </c>
      <c r="E111" s="28" t="s">
        <v>18</v>
      </c>
      <c r="F111" s="28">
        <v>1700</v>
      </c>
      <c r="G111" s="28">
        <v>2300</v>
      </c>
      <c r="H111" s="28">
        <v>1700</v>
      </c>
      <c r="I111" s="28">
        <v>1300</v>
      </c>
      <c r="J111" s="28">
        <v>1000</v>
      </c>
      <c r="K111" s="28">
        <v>1000</v>
      </c>
      <c r="L111" s="30">
        <f>바닥판단가!G35</f>
        <v>50010</v>
      </c>
      <c r="M111" s="30">
        <f>바닥판단가!G45</f>
        <v>50020</v>
      </c>
      <c r="N111" s="31">
        <f>바닥판단가!G35 + 바닥판단가!G45</f>
        <v>100030</v>
      </c>
    </row>
    <row r="112" spans="1:19" ht="20.25" customHeight="1">
      <c r="A112" s="28" t="s">
        <v>24</v>
      </c>
      <c r="B112" s="28" t="s">
        <v>15</v>
      </c>
      <c r="C112" s="28" t="s">
        <v>16</v>
      </c>
      <c r="D112" s="28" t="s">
        <v>17</v>
      </c>
      <c r="E112" s="28" t="s">
        <v>18</v>
      </c>
      <c r="F112" s="28">
        <v>1700</v>
      </c>
      <c r="G112" s="28">
        <v>2400</v>
      </c>
      <c r="H112" s="28">
        <v>1700</v>
      </c>
      <c r="I112" s="28">
        <v>1350</v>
      </c>
      <c r="J112" s="28">
        <v>1050</v>
      </c>
      <c r="K112" s="28">
        <v>1050</v>
      </c>
      <c r="L112" s="30">
        <f>바닥판단가!G36</f>
        <v>50011</v>
      </c>
      <c r="M112" s="30">
        <f>바닥판단가!G48</f>
        <v>50023</v>
      </c>
      <c r="N112" s="31">
        <f>바닥판단가!G36 + 바닥판단가!G48</f>
        <v>100034</v>
      </c>
    </row>
    <row r="113" spans="1:15" ht="20.25" customHeight="1">
      <c r="A113" s="28" t="s">
        <v>24</v>
      </c>
      <c r="B113" s="28" t="s">
        <v>15</v>
      </c>
      <c r="C113" s="28" t="s">
        <v>16</v>
      </c>
      <c r="D113" s="28" t="s">
        <v>17</v>
      </c>
      <c r="E113" s="28" t="s">
        <v>18</v>
      </c>
      <c r="F113" s="28">
        <v>1700</v>
      </c>
      <c r="G113" s="28">
        <v>2500</v>
      </c>
      <c r="H113" s="28">
        <v>1700</v>
      </c>
      <c r="I113" s="28">
        <v>1400</v>
      </c>
      <c r="J113" s="28">
        <v>1000</v>
      </c>
      <c r="K113" s="28">
        <v>1100</v>
      </c>
      <c r="L113" s="30">
        <f>바닥판단가!G37</f>
        <v>50012</v>
      </c>
      <c r="M113" s="30">
        <f>바닥판단가!G49</f>
        <v>50024</v>
      </c>
      <c r="N113" s="31">
        <f>바닥판단가!G37 + 바닥판단가!G49</f>
        <v>100036</v>
      </c>
    </row>
    <row r="114" spans="1:15" ht="20.25" customHeight="1">
      <c r="A114" s="28" t="s">
        <v>24</v>
      </c>
      <c r="B114" s="28" t="s">
        <v>15</v>
      </c>
      <c r="C114" s="28" t="s">
        <v>16</v>
      </c>
      <c r="D114" s="28" t="s">
        <v>17</v>
      </c>
      <c r="E114" s="28" t="s">
        <v>18</v>
      </c>
      <c r="F114" s="28">
        <v>1800</v>
      </c>
      <c r="G114" s="28">
        <v>2200</v>
      </c>
      <c r="H114" s="28">
        <v>1800</v>
      </c>
      <c r="I114" s="28">
        <v>1300</v>
      </c>
      <c r="J114" s="28">
        <v>1100</v>
      </c>
      <c r="K114" s="28">
        <v>900</v>
      </c>
      <c r="L114" s="30">
        <f>바닥판단가!G38</f>
        <v>50013</v>
      </c>
      <c r="M114" s="30">
        <f>바닥판단가!G43</f>
        <v>50018</v>
      </c>
      <c r="N114" s="31">
        <f>바닥판단가!G38 + 바닥판단가!G43</f>
        <v>100031</v>
      </c>
    </row>
    <row r="115" spans="1:15" ht="20.25" customHeight="1">
      <c r="A115" s="28" t="s">
        <v>24</v>
      </c>
      <c r="B115" s="28" t="s">
        <v>15</v>
      </c>
      <c r="C115" s="28" t="s">
        <v>16</v>
      </c>
      <c r="D115" s="28" t="s">
        <v>17</v>
      </c>
      <c r="E115" s="28" t="s">
        <v>18</v>
      </c>
      <c r="F115" s="28">
        <v>1800</v>
      </c>
      <c r="G115" s="28">
        <v>2300</v>
      </c>
      <c r="H115" s="28">
        <v>1800</v>
      </c>
      <c r="I115" s="28">
        <v>1300</v>
      </c>
      <c r="J115" s="28">
        <v>1100</v>
      </c>
      <c r="K115" s="28">
        <v>1000</v>
      </c>
      <c r="L115" s="30">
        <f>바닥판단가!G38</f>
        <v>50013</v>
      </c>
      <c r="M115" s="30">
        <f>바닥판단가!G50</f>
        <v>50025</v>
      </c>
      <c r="N115" s="31">
        <f>바닥판단가!G38 + 바닥판단가!G50</f>
        <v>100038</v>
      </c>
    </row>
    <row r="116" spans="1:15" ht="20.25" customHeight="1">
      <c r="A116" s="28" t="s">
        <v>24</v>
      </c>
      <c r="B116" s="28" t="s">
        <v>15</v>
      </c>
      <c r="C116" s="28" t="s">
        <v>16</v>
      </c>
      <c r="D116" s="28" t="s">
        <v>17</v>
      </c>
      <c r="E116" s="28" t="s">
        <v>18</v>
      </c>
      <c r="F116" s="28">
        <v>1800</v>
      </c>
      <c r="G116" s="28">
        <v>2600</v>
      </c>
      <c r="H116" s="28">
        <v>1800</v>
      </c>
      <c r="I116" s="28">
        <v>1800</v>
      </c>
      <c r="J116" s="28">
        <v>900</v>
      </c>
      <c r="K116" s="28">
        <v>800</v>
      </c>
      <c r="L116" s="30">
        <f>바닥판단가!G39</f>
        <v>50014</v>
      </c>
      <c r="M116" s="30">
        <f>바닥판단가!G51</f>
        <v>50026</v>
      </c>
      <c r="N116" s="31">
        <f>바닥판단가!G39 + 바닥판단가!G51</f>
        <v>100040</v>
      </c>
    </row>
    <row r="117" spans="1:15" ht="20.25" customHeight="1">
      <c r="A117" s="28" t="s">
        <v>24</v>
      </c>
      <c r="B117" s="28" t="s">
        <v>15</v>
      </c>
      <c r="C117" s="28" t="s">
        <v>19</v>
      </c>
      <c r="D117" s="28" t="s">
        <v>17</v>
      </c>
      <c r="E117" s="28" t="s">
        <v>20</v>
      </c>
      <c r="F117" s="28">
        <v>1200</v>
      </c>
      <c r="G117" s="28">
        <v>1900</v>
      </c>
      <c r="H117" s="28" t="s">
        <v>21</v>
      </c>
      <c r="I117" s="28" t="s">
        <v>21</v>
      </c>
      <c r="J117" s="28" t="s">
        <v>21</v>
      </c>
      <c r="K117" s="28" t="s">
        <v>21</v>
      </c>
      <c r="L117" s="28" t="s">
        <v>21</v>
      </c>
      <c r="M117" s="28" t="s">
        <v>21</v>
      </c>
      <c r="N117" s="31">
        <f>바닥판단가!G52</f>
        <v>50027</v>
      </c>
    </row>
    <row r="118" spans="1:15" ht="20.25" customHeight="1">
      <c r="A118" s="28" t="s">
        <v>24</v>
      </c>
      <c r="B118" s="28" t="s">
        <v>15</v>
      </c>
      <c r="C118" s="28" t="s">
        <v>19</v>
      </c>
      <c r="D118" s="28" t="s">
        <v>17</v>
      </c>
      <c r="E118" s="28" t="s">
        <v>20</v>
      </c>
      <c r="F118" s="28">
        <v>1400</v>
      </c>
      <c r="G118" s="28">
        <v>1900</v>
      </c>
      <c r="H118" s="28" t="s">
        <v>21</v>
      </c>
      <c r="I118" s="28" t="s">
        <v>21</v>
      </c>
      <c r="J118" s="28" t="s">
        <v>21</v>
      </c>
      <c r="K118" s="28" t="s">
        <v>21</v>
      </c>
      <c r="L118" s="28" t="s">
        <v>21</v>
      </c>
      <c r="M118" s="28" t="s">
        <v>21</v>
      </c>
      <c r="N118" s="31">
        <f>바닥판단가!G53</f>
        <v>50028</v>
      </c>
    </row>
    <row r="119" spans="1:15" ht="20.25" customHeight="1">
      <c r="A119" s="28" t="s">
        <v>24</v>
      </c>
      <c r="B119" s="28" t="s">
        <v>15</v>
      </c>
      <c r="C119" s="28" t="s">
        <v>19</v>
      </c>
      <c r="D119" s="28" t="s">
        <v>17</v>
      </c>
      <c r="E119" s="28" t="s">
        <v>18</v>
      </c>
      <c r="F119" s="28">
        <v>1400</v>
      </c>
      <c r="G119" s="28">
        <v>2050</v>
      </c>
      <c r="H119" s="28">
        <v>1400</v>
      </c>
      <c r="I119" s="28">
        <v>1300</v>
      </c>
      <c r="J119" s="28">
        <v>1400</v>
      </c>
      <c r="K119" s="28">
        <v>750</v>
      </c>
      <c r="L119" s="30">
        <f>바닥판단가!G40</f>
        <v>50015</v>
      </c>
      <c r="M119" s="30">
        <f>바닥판단가!G54</f>
        <v>50029</v>
      </c>
      <c r="N119" s="31">
        <f t="shared" ref="N119:N126" si="0">L119+M119</f>
        <v>100044</v>
      </c>
    </row>
    <row r="120" spans="1:15" ht="20.25" customHeight="1">
      <c r="A120" s="28" t="s">
        <v>24</v>
      </c>
      <c r="B120" s="28" t="s">
        <v>15</v>
      </c>
      <c r="C120" s="28" t="s">
        <v>19</v>
      </c>
      <c r="D120" s="28" t="s">
        <v>17</v>
      </c>
      <c r="E120" s="28" t="s">
        <v>18</v>
      </c>
      <c r="F120" s="28">
        <v>1400</v>
      </c>
      <c r="G120" s="28">
        <v>2100</v>
      </c>
      <c r="H120" s="28">
        <v>1400</v>
      </c>
      <c r="I120" s="28">
        <v>1300</v>
      </c>
      <c r="J120" s="28">
        <v>1400</v>
      </c>
      <c r="K120" s="28">
        <v>800</v>
      </c>
      <c r="L120" s="30">
        <f>바닥판단가!G40</f>
        <v>50015</v>
      </c>
      <c r="M120" s="30">
        <f>바닥판단가!G55</f>
        <v>50030</v>
      </c>
      <c r="N120" s="31">
        <f t="shared" si="0"/>
        <v>100045</v>
      </c>
    </row>
    <row r="121" spans="1:15" ht="20.25" customHeight="1">
      <c r="A121" s="28" t="s">
        <v>24</v>
      </c>
      <c r="B121" s="28" t="s">
        <v>15</v>
      </c>
      <c r="C121" s="28" t="s">
        <v>19</v>
      </c>
      <c r="D121" s="28" t="s">
        <v>17</v>
      </c>
      <c r="E121" s="28" t="s">
        <v>18</v>
      </c>
      <c r="F121" s="28">
        <v>1500</v>
      </c>
      <c r="G121" s="28">
        <v>2000</v>
      </c>
      <c r="H121" s="28">
        <v>1500</v>
      </c>
      <c r="I121" s="28">
        <v>1300</v>
      </c>
      <c r="J121" s="28">
        <v>1500</v>
      </c>
      <c r="K121" s="28">
        <v>700</v>
      </c>
      <c r="L121" s="30">
        <f>바닥판단가!G27</f>
        <v>50002</v>
      </c>
      <c r="M121" s="30">
        <f>바닥판단가!G56</f>
        <v>50031</v>
      </c>
      <c r="N121" s="31">
        <f t="shared" si="0"/>
        <v>100033</v>
      </c>
    </row>
    <row r="122" spans="1:15" ht="20.25" customHeight="1">
      <c r="A122" s="28" t="s">
        <v>24</v>
      </c>
      <c r="B122" s="28" t="s">
        <v>15</v>
      </c>
      <c r="C122" s="28" t="s">
        <v>19</v>
      </c>
      <c r="D122" s="28" t="s">
        <v>17</v>
      </c>
      <c r="E122" s="28" t="s">
        <v>18</v>
      </c>
      <c r="F122" s="28">
        <v>1500</v>
      </c>
      <c r="G122" s="28">
        <v>2100</v>
      </c>
      <c r="H122" s="28">
        <v>1500</v>
      </c>
      <c r="I122" s="28">
        <v>1300</v>
      </c>
      <c r="J122" s="28">
        <v>1500</v>
      </c>
      <c r="K122" s="28">
        <v>800</v>
      </c>
      <c r="L122" s="30">
        <f>바닥판단가!G27</f>
        <v>50002</v>
      </c>
      <c r="M122" s="30">
        <f>바닥판단가!G57</f>
        <v>50032</v>
      </c>
      <c r="N122" s="31">
        <f t="shared" si="0"/>
        <v>100034</v>
      </c>
    </row>
    <row r="123" spans="1:15" ht="20.25" customHeight="1">
      <c r="A123" s="28" t="s">
        <v>24</v>
      </c>
      <c r="B123" s="28" t="s">
        <v>15</v>
      </c>
      <c r="C123" s="28" t="s">
        <v>19</v>
      </c>
      <c r="D123" s="28" t="s">
        <v>17</v>
      </c>
      <c r="E123" s="28" t="s">
        <v>18</v>
      </c>
      <c r="F123" s="28">
        <v>1500</v>
      </c>
      <c r="G123" s="28">
        <v>2200</v>
      </c>
      <c r="H123" s="28">
        <v>1500</v>
      </c>
      <c r="I123" s="28">
        <v>1400</v>
      </c>
      <c r="J123" s="28">
        <v>1500</v>
      </c>
      <c r="K123" s="28">
        <v>800</v>
      </c>
      <c r="L123" s="30">
        <f>바닥판단가!G28</f>
        <v>50003</v>
      </c>
      <c r="M123" s="30">
        <f>바닥판단가!G57</f>
        <v>50032</v>
      </c>
      <c r="N123" s="31">
        <f t="shared" si="0"/>
        <v>100035</v>
      </c>
    </row>
    <row r="124" spans="1:15" ht="20.25" customHeight="1">
      <c r="A124" s="28" t="s">
        <v>24</v>
      </c>
      <c r="B124" s="28" t="s">
        <v>15</v>
      </c>
      <c r="C124" s="28" t="s">
        <v>19</v>
      </c>
      <c r="D124" s="28" t="s">
        <v>17</v>
      </c>
      <c r="E124" s="28" t="s">
        <v>18</v>
      </c>
      <c r="F124" s="28">
        <v>1500</v>
      </c>
      <c r="G124" s="28">
        <v>2300</v>
      </c>
      <c r="H124" s="28">
        <v>1500</v>
      </c>
      <c r="I124" s="28">
        <v>1400</v>
      </c>
      <c r="J124" s="28">
        <v>1500</v>
      </c>
      <c r="K124" s="28">
        <v>900</v>
      </c>
      <c r="L124" s="30">
        <f>바닥판단가!G28</f>
        <v>50003</v>
      </c>
      <c r="M124" s="30">
        <f>바닥판단가!G58</f>
        <v>50033</v>
      </c>
      <c r="N124" s="31">
        <f t="shared" si="0"/>
        <v>100036</v>
      </c>
    </row>
    <row r="125" spans="1:15" ht="20.25" customHeight="1">
      <c r="A125" s="28" t="s">
        <v>24</v>
      </c>
      <c r="B125" s="28" t="s">
        <v>15</v>
      </c>
      <c r="C125" s="28" t="s">
        <v>19</v>
      </c>
      <c r="D125" s="28" t="s">
        <v>17</v>
      </c>
      <c r="E125" s="28" t="s">
        <v>18</v>
      </c>
      <c r="F125" s="28">
        <v>1600</v>
      </c>
      <c r="G125" s="28">
        <v>2200</v>
      </c>
      <c r="H125" s="28">
        <v>1600</v>
      </c>
      <c r="I125" s="28">
        <v>1400</v>
      </c>
      <c r="J125" s="28">
        <v>1600</v>
      </c>
      <c r="K125" s="28">
        <v>800</v>
      </c>
      <c r="L125" s="30">
        <f>바닥판단가!G41</f>
        <v>50016</v>
      </c>
      <c r="M125" s="30">
        <f>바닥판단가!G59</f>
        <v>50034</v>
      </c>
      <c r="N125" s="31">
        <f t="shared" si="0"/>
        <v>100050</v>
      </c>
    </row>
    <row r="126" spans="1:15" ht="20.25" customHeight="1">
      <c r="A126" s="28" t="s">
        <v>24</v>
      </c>
      <c r="B126" s="28" t="s">
        <v>15</v>
      </c>
      <c r="C126" s="28" t="s">
        <v>19</v>
      </c>
      <c r="D126" s="28" t="s">
        <v>17</v>
      </c>
      <c r="E126" s="28" t="s">
        <v>18</v>
      </c>
      <c r="F126" s="28">
        <v>1600</v>
      </c>
      <c r="G126" s="28">
        <v>2300</v>
      </c>
      <c r="H126" s="28">
        <v>1600</v>
      </c>
      <c r="I126" s="28">
        <v>1400</v>
      </c>
      <c r="J126" s="28">
        <v>1600</v>
      </c>
      <c r="K126" s="28">
        <v>900</v>
      </c>
      <c r="L126" s="30">
        <f>바닥판단가!G41</f>
        <v>50016</v>
      </c>
      <c r="M126" s="30">
        <f>바닥판단가!G60</f>
        <v>50035</v>
      </c>
      <c r="N126" s="31">
        <f t="shared" si="0"/>
        <v>100051</v>
      </c>
    </row>
    <row r="127" spans="1:15" ht="20.25" customHeight="1">
      <c r="A127" s="28" t="s">
        <v>14</v>
      </c>
      <c r="B127" s="28" t="s">
        <v>25</v>
      </c>
      <c r="C127" s="28" t="s">
        <v>16</v>
      </c>
      <c r="D127" s="28" t="s">
        <v>17</v>
      </c>
      <c r="E127" s="28" t="s">
        <v>20</v>
      </c>
      <c r="F127" s="28">
        <v>1400</v>
      </c>
      <c r="G127" s="28">
        <v>2100</v>
      </c>
      <c r="H127" s="28" t="s">
        <v>21</v>
      </c>
      <c r="I127" s="28" t="s">
        <v>21</v>
      </c>
      <c r="J127" s="28" t="s">
        <v>21</v>
      </c>
      <c r="K127" s="28" t="s">
        <v>21</v>
      </c>
      <c r="L127" s="28" t="s">
        <v>21</v>
      </c>
      <c r="M127" s="28" t="s">
        <v>21</v>
      </c>
      <c r="N127" s="31">
        <f>바닥판단가!G65</f>
        <v>77613</v>
      </c>
      <c r="O127" s="36"/>
    </row>
    <row r="128" spans="1:15" ht="20.25" customHeight="1">
      <c r="A128" s="28" t="s">
        <v>14</v>
      </c>
      <c r="B128" s="28" t="s">
        <v>25</v>
      </c>
      <c r="C128" s="28" t="s">
        <v>16</v>
      </c>
      <c r="D128" s="28" t="s">
        <v>17</v>
      </c>
      <c r="E128" s="28" t="s">
        <v>20</v>
      </c>
      <c r="F128" s="28">
        <v>1400</v>
      </c>
      <c r="G128" s="28">
        <v>2200</v>
      </c>
      <c r="H128" s="28" t="s">
        <v>21</v>
      </c>
      <c r="I128" s="28" t="s">
        <v>21</v>
      </c>
      <c r="J128" s="28" t="s">
        <v>21</v>
      </c>
      <c r="K128" s="28" t="s">
        <v>21</v>
      </c>
      <c r="L128" s="28" t="s">
        <v>21</v>
      </c>
      <c r="M128" s="28" t="s">
        <v>21</v>
      </c>
      <c r="N128" s="31">
        <f>바닥판단가!G66</f>
        <v>78661</v>
      </c>
    </row>
    <row r="129" spans="1:14" ht="20.25" customHeight="1">
      <c r="A129" s="28" t="s">
        <v>14</v>
      </c>
      <c r="B129" s="28" t="s">
        <v>25</v>
      </c>
      <c r="C129" s="28" t="s">
        <v>16</v>
      </c>
      <c r="D129" s="28" t="s">
        <v>17</v>
      </c>
      <c r="E129" s="28" t="s">
        <v>20</v>
      </c>
      <c r="F129" s="28">
        <v>1500</v>
      </c>
      <c r="G129" s="28">
        <v>2100</v>
      </c>
      <c r="H129" s="28" t="s">
        <v>21</v>
      </c>
      <c r="I129" s="28" t="s">
        <v>21</v>
      </c>
      <c r="J129" s="28" t="s">
        <v>21</v>
      </c>
      <c r="K129" s="28" t="s">
        <v>21</v>
      </c>
      <c r="L129" s="28" t="s">
        <v>21</v>
      </c>
      <c r="M129" s="28" t="s">
        <v>21</v>
      </c>
      <c r="N129" s="31">
        <f>바닥판단가!G67</f>
        <v>79813</v>
      </c>
    </row>
    <row r="130" spans="1:14" ht="20.25" customHeight="1">
      <c r="A130" s="28" t="s">
        <v>14</v>
      </c>
      <c r="B130" s="28" t="s">
        <v>25</v>
      </c>
      <c r="C130" s="28" t="s">
        <v>16</v>
      </c>
      <c r="D130" s="28" t="s">
        <v>17</v>
      </c>
      <c r="E130" s="28" t="s">
        <v>20</v>
      </c>
      <c r="F130" s="28">
        <v>1500</v>
      </c>
      <c r="G130" s="28">
        <v>2200</v>
      </c>
      <c r="H130" s="28" t="s">
        <v>21</v>
      </c>
      <c r="I130" s="28" t="s">
        <v>21</v>
      </c>
      <c r="J130" s="28" t="s">
        <v>21</v>
      </c>
      <c r="K130" s="28" t="s">
        <v>21</v>
      </c>
      <c r="L130" s="28" t="s">
        <v>21</v>
      </c>
      <c r="M130" s="28" t="s">
        <v>21</v>
      </c>
      <c r="N130" s="31">
        <f>바닥판단가!G68</f>
        <v>80860</v>
      </c>
    </row>
    <row r="131" spans="1:14" ht="20.25" customHeight="1">
      <c r="A131" s="28" t="s">
        <v>14</v>
      </c>
      <c r="B131" s="28" t="s">
        <v>25</v>
      </c>
      <c r="C131" s="28" t="s">
        <v>19</v>
      </c>
      <c r="D131" s="28" t="s">
        <v>23</v>
      </c>
      <c r="E131" s="28" t="s">
        <v>20</v>
      </c>
      <c r="F131" s="28">
        <v>1500</v>
      </c>
      <c r="G131" s="28">
        <v>2000</v>
      </c>
      <c r="H131" s="28" t="s">
        <v>21</v>
      </c>
      <c r="I131" s="28" t="s">
        <v>21</v>
      </c>
      <c r="J131" s="28" t="s">
        <v>21</v>
      </c>
      <c r="K131" s="28" t="s">
        <v>21</v>
      </c>
      <c r="L131" s="28" t="s">
        <v>21</v>
      </c>
      <c r="M131" s="28" t="s">
        <v>21</v>
      </c>
      <c r="N131" s="31">
        <f>바닥판단가!G69</f>
        <v>81839</v>
      </c>
    </row>
    <row r="132" spans="1:14" ht="20.25" customHeight="1">
      <c r="A132" s="28" t="s">
        <v>14</v>
      </c>
      <c r="B132" s="28" t="s">
        <v>26</v>
      </c>
      <c r="C132" s="28" t="s">
        <v>19</v>
      </c>
      <c r="D132" s="28" t="s">
        <v>17</v>
      </c>
      <c r="E132" s="28" t="s">
        <v>20</v>
      </c>
      <c r="F132" s="28">
        <v>1200</v>
      </c>
      <c r="G132" s="28">
        <v>1400</v>
      </c>
      <c r="H132" s="28" t="s">
        <v>21</v>
      </c>
      <c r="I132" s="28" t="s">
        <v>21</v>
      </c>
      <c r="J132" s="28" t="s">
        <v>21</v>
      </c>
      <c r="K132" s="28" t="s">
        <v>21</v>
      </c>
      <c r="L132" s="28" t="s">
        <v>21</v>
      </c>
      <c r="M132" s="28" t="s">
        <v>21</v>
      </c>
      <c r="N132" s="31">
        <f>바닥판단가!G70</f>
        <v>75324</v>
      </c>
    </row>
    <row r="133" spans="1:14" ht="20.25" customHeight="1">
      <c r="A133" s="28" t="s">
        <v>14</v>
      </c>
      <c r="B133" s="28" t="s">
        <v>26</v>
      </c>
      <c r="C133" s="28" t="s">
        <v>19</v>
      </c>
      <c r="D133" s="28" t="s">
        <v>17</v>
      </c>
      <c r="E133" s="28" t="s">
        <v>20</v>
      </c>
      <c r="F133" s="28">
        <v>1300</v>
      </c>
      <c r="G133" s="28">
        <v>1500</v>
      </c>
      <c r="H133" s="28" t="s">
        <v>21</v>
      </c>
      <c r="I133" s="28" t="s">
        <v>21</v>
      </c>
      <c r="J133" s="28" t="s">
        <v>21</v>
      </c>
      <c r="K133" s="28" t="s">
        <v>21</v>
      </c>
      <c r="L133" s="28" t="s">
        <v>21</v>
      </c>
      <c r="M133" s="28" t="s">
        <v>21</v>
      </c>
      <c r="N133" s="31">
        <f>바닥판단가!G71</f>
        <v>79865</v>
      </c>
    </row>
    <row r="134" spans="1:14" ht="20.25" customHeight="1">
      <c r="A134" s="28" t="s">
        <v>14</v>
      </c>
      <c r="B134" s="28" t="s">
        <v>26</v>
      </c>
      <c r="C134" s="28" t="s">
        <v>19</v>
      </c>
      <c r="D134" s="28" t="s">
        <v>17</v>
      </c>
      <c r="E134" s="28" t="s">
        <v>20</v>
      </c>
      <c r="F134" s="28">
        <v>1400</v>
      </c>
      <c r="G134" s="28">
        <v>1800</v>
      </c>
      <c r="H134" s="28" t="s">
        <v>21</v>
      </c>
      <c r="I134" s="28" t="s">
        <v>21</v>
      </c>
      <c r="J134" s="28" t="s">
        <v>21</v>
      </c>
      <c r="K134" s="28" t="s">
        <v>21</v>
      </c>
      <c r="L134" s="28" t="s">
        <v>21</v>
      </c>
      <c r="M134" s="28" t="s">
        <v>21</v>
      </c>
      <c r="N134" s="31">
        <f>바닥판단가!G72</f>
        <v>94785</v>
      </c>
    </row>
    <row r="135" spans="1:14" ht="20.25" customHeight="1">
      <c r="A135" s="28" t="s">
        <v>14</v>
      </c>
      <c r="B135" s="28" t="s">
        <v>26</v>
      </c>
      <c r="C135" s="28" t="s">
        <v>19</v>
      </c>
      <c r="D135" s="28" t="s">
        <v>23</v>
      </c>
      <c r="E135" s="28" t="s">
        <v>20</v>
      </c>
      <c r="F135" s="28">
        <v>1300</v>
      </c>
      <c r="G135" s="28">
        <v>1900</v>
      </c>
      <c r="H135" s="28" t="s">
        <v>21</v>
      </c>
      <c r="I135" s="28" t="s">
        <v>21</v>
      </c>
      <c r="J135" s="28" t="s">
        <v>21</v>
      </c>
      <c r="K135" s="28" t="s">
        <v>21</v>
      </c>
      <c r="L135" s="28" t="s">
        <v>21</v>
      </c>
      <c r="M135" s="28" t="s">
        <v>21</v>
      </c>
      <c r="N135" s="31">
        <f>바닥판단가!G73</f>
        <v>91562</v>
      </c>
    </row>
    <row r="136" spans="1:14" ht="20.25" customHeight="1">
      <c r="A136" s="28" t="s">
        <v>14</v>
      </c>
      <c r="B136" s="28" t="s">
        <v>26</v>
      </c>
      <c r="C136" s="28" t="s">
        <v>19</v>
      </c>
      <c r="D136" s="28" t="s">
        <v>23</v>
      </c>
      <c r="E136" s="28" t="s">
        <v>20</v>
      </c>
      <c r="F136" s="28">
        <v>1500</v>
      </c>
      <c r="G136" s="28">
        <v>1900</v>
      </c>
      <c r="H136" s="28" t="s">
        <v>21</v>
      </c>
      <c r="I136" s="28" t="s">
        <v>21</v>
      </c>
      <c r="J136" s="28" t="s">
        <v>21</v>
      </c>
      <c r="K136" s="28" t="s">
        <v>21</v>
      </c>
      <c r="L136" s="28" t="s">
        <v>21</v>
      </c>
      <c r="M136" s="28">
        <v>34232</v>
      </c>
      <c r="N136" s="31">
        <f>바닥판단가!G74</f>
        <v>98698</v>
      </c>
    </row>
    <row r="137" spans="1:14" ht="20.25" customHeight="1">
      <c r="B137" s="28" t="s">
        <v>291</v>
      </c>
      <c r="C137" s="28" t="s">
        <v>19</v>
      </c>
      <c r="D137" s="28" t="s">
        <v>23</v>
      </c>
      <c r="E137" s="28" t="s">
        <v>20</v>
      </c>
      <c r="F137" s="28">
        <v>1500</v>
      </c>
      <c r="G137" s="28">
        <v>1900</v>
      </c>
      <c r="H137" s="28" t="s">
        <v>21</v>
      </c>
      <c r="I137" s="28" t="s">
        <v>21</v>
      </c>
      <c r="J137" s="28" t="s">
        <v>21</v>
      </c>
      <c r="K137" s="28" t="s">
        <v>21</v>
      </c>
      <c r="L137" s="28" t="s">
        <v>21</v>
      </c>
      <c r="M137" s="28">
        <v>34232</v>
      </c>
      <c r="N137" s="31">
        <f>바닥판단가!G75</f>
        <v>98698</v>
      </c>
    </row>
    <row r="138" spans="1:14" ht="16.5" customHeight="1">
      <c r="N138" s="10"/>
    </row>
    <row r="139" spans="1:14" ht="16.5" customHeight="1">
      <c r="N139" s="10"/>
    </row>
    <row r="140" spans="1:14" ht="16.5" customHeight="1">
      <c r="N140" s="10"/>
    </row>
    <row r="141" spans="1:14" ht="16.5" customHeight="1">
      <c r="N141" s="10"/>
    </row>
    <row r="142" spans="1:14" ht="16.5" customHeight="1">
      <c r="N142" s="10"/>
    </row>
    <row r="143" spans="1:14" ht="16.5" customHeight="1">
      <c r="N143" s="10"/>
    </row>
    <row r="144" spans="1:14" ht="16.5" customHeight="1">
      <c r="N144" s="10"/>
    </row>
    <row r="145" spans="14:14" ht="16.5" customHeight="1">
      <c r="N145" s="10"/>
    </row>
    <row r="146" spans="14:14" ht="16.5" customHeight="1">
      <c r="N146" s="10"/>
    </row>
    <row r="147" spans="14:14" ht="16.5" customHeight="1">
      <c r="N147" s="10"/>
    </row>
    <row r="148" spans="14:14" ht="16.5" customHeight="1">
      <c r="N148" s="10"/>
    </row>
    <row r="149" spans="14:14" ht="16.5" customHeight="1">
      <c r="N149" s="10"/>
    </row>
    <row r="150" spans="14:14" ht="16.5" customHeight="1">
      <c r="N150" s="10"/>
    </row>
    <row r="151" spans="14:14" ht="16.5" customHeight="1">
      <c r="N151" s="10"/>
    </row>
    <row r="152" spans="14:14" ht="16.5" customHeight="1">
      <c r="N152" s="10"/>
    </row>
    <row r="153" spans="14:14" ht="16.5" customHeight="1">
      <c r="N153" s="10"/>
    </row>
    <row r="154" spans="14:14" ht="16.5" customHeight="1">
      <c r="N154" s="10"/>
    </row>
    <row r="155" spans="14:14" ht="16.5" customHeight="1">
      <c r="N155" s="10"/>
    </row>
    <row r="156" spans="14:14" ht="16.5" customHeight="1">
      <c r="N156" s="10"/>
    </row>
    <row r="157" spans="14:14" ht="16.5" customHeight="1">
      <c r="N157" s="10"/>
    </row>
    <row r="158" spans="14:14" ht="16.5" customHeight="1">
      <c r="N158" s="10"/>
    </row>
    <row r="159" spans="14:14" ht="16.5" customHeight="1">
      <c r="N159" s="10"/>
    </row>
    <row r="160" spans="14:14" ht="16.5" customHeight="1">
      <c r="N160" s="10"/>
    </row>
    <row r="161" spans="14:14" ht="16.5" customHeight="1">
      <c r="N161" s="10"/>
    </row>
    <row r="162" spans="14:14" ht="16.5" customHeight="1">
      <c r="N162" s="10"/>
    </row>
    <row r="163" spans="14:14" ht="16.5" customHeight="1">
      <c r="N163" s="10"/>
    </row>
    <row r="164" spans="14:14" ht="16.5" customHeight="1">
      <c r="N164" s="10"/>
    </row>
    <row r="165" spans="14:14" ht="16.5" customHeight="1">
      <c r="N165" s="10"/>
    </row>
    <row r="166" spans="14:14" ht="16.5" customHeight="1">
      <c r="N166" s="10"/>
    </row>
    <row r="167" spans="14:14" ht="16.5" customHeight="1">
      <c r="N167" s="10"/>
    </row>
    <row r="168" spans="14:14" ht="16.5" customHeight="1">
      <c r="N168" s="10"/>
    </row>
    <row r="169" spans="14:14" ht="16.5" customHeight="1">
      <c r="N169" s="10"/>
    </row>
    <row r="170" spans="14:14" ht="16.5" customHeight="1">
      <c r="N170" s="10"/>
    </row>
    <row r="171" spans="14:14" ht="16.5" customHeight="1">
      <c r="N171" s="10"/>
    </row>
    <row r="172" spans="14:14" ht="16.5" customHeight="1">
      <c r="N172" s="10"/>
    </row>
    <row r="173" spans="14:14" ht="16.5" customHeight="1">
      <c r="N173" s="10"/>
    </row>
    <row r="174" spans="14:14" ht="16.5" customHeight="1">
      <c r="N174" s="10"/>
    </row>
    <row r="175" spans="14:14" ht="16.5" customHeight="1">
      <c r="N175" s="10"/>
    </row>
    <row r="176" spans="14:14" ht="16.5" customHeight="1">
      <c r="N176" s="10"/>
    </row>
    <row r="177" spans="14:14" ht="16.5" customHeight="1">
      <c r="N177" s="10"/>
    </row>
    <row r="178" spans="14:14" ht="16.5" customHeight="1">
      <c r="N178" s="10"/>
    </row>
    <row r="179" spans="14:14" ht="16.5" customHeight="1">
      <c r="N179" s="10"/>
    </row>
    <row r="180" spans="14:14" ht="16.5" customHeight="1">
      <c r="N180" s="10"/>
    </row>
    <row r="181" spans="14:14" ht="16.5" customHeight="1">
      <c r="N181" s="10"/>
    </row>
    <row r="182" spans="14:14" ht="16.5" customHeight="1">
      <c r="N182" s="10"/>
    </row>
    <row r="183" spans="14:14" ht="16.5" customHeight="1">
      <c r="N183" s="10"/>
    </row>
    <row r="184" spans="14:14" ht="16.5" customHeight="1">
      <c r="N184" s="10"/>
    </row>
    <row r="185" spans="14:14" ht="16.5" customHeight="1">
      <c r="N185" s="10"/>
    </row>
    <row r="186" spans="14:14" ht="16.5" customHeight="1">
      <c r="N186" s="10"/>
    </row>
    <row r="187" spans="14:14" ht="16.5" customHeight="1">
      <c r="N187" s="10"/>
    </row>
    <row r="188" spans="14:14" ht="16.5" customHeight="1">
      <c r="N188" s="10"/>
    </row>
    <row r="189" spans="14:14" ht="16.5" customHeight="1">
      <c r="N189" s="10"/>
    </row>
    <row r="190" spans="14:14" ht="16.5" customHeight="1">
      <c r="N190" s="10"/>
    </row>
    <row r="191" spans="14:14" ht="16.5" customHeight="1">
      <c r="N191" s="10"/>
    </row>
    <row r="192" spans="14:14" ht="16.5" customHeight="1">
      <c r="N192" s="10"/>
    </row>
    <row r="193" spans="14:14" ht="16.5" customHeight="1">
      <c r="N193" s="10"/>
    </row>
    <row r="194" spans="14:14" ht="16.5" customHeight="1">
      <c r="N194" s="10"/>
    </row>
    <row r="195" spans="14:14" ht="16.5" customHeight="1">
      <c r="N195" s="10"/>
    </row>
    <row r="196" spans="14:14" ht="16.5" customHeight="1">
      <c r="N196" s="10"/>
    </row>
    <row r="197" spans="14:14" ht="16.5" customHeight="1">
      <c r="N197" s="10"/>
    </row>
    <row r="198" spans="14:14" ht="16.5" customHeight="1">
      <c r="N198" s="10"/>
    </row>
    <row r="199" spans="14:14" ht="16.5" customHeight="1">
      <c r="N199" s="10"/>
    </row>
    <row r="200" spans="14:14" ht="16.5" customHeight="1">
      <c r="N200" s="10"/>
    </row>
    <row r="201" spans="14:14" ht="16.5" customHeight="1">
      <c r="N201" s="10"/>
    </row>
    <row r="202" spans="14:14" ht="16.5" customHeight="1">
      <c r="N202" s="10"/>
    </row>
    <row r="203" spans="14:14" ht="16.5" customHeight="1">
      <c r="N203" s="10"/>
    </row>
    <row r="204" spans="14:14" ht="16.5" customHeight="1">
      <c r="N204" s="10"/>
    </row>
    <row r="205" spans="14:14" ht="16.5" customHeight="1">
      <c r="N205" s="10"/>
    </row>
    <row r="206" spans="14:14" ht="16.5" customHeight="1">
      <c r="N206" s="10"/>
    </row>
    <row r="207" spans="14:14" ht="16.5" customHeight="1">
      <c r="N207" s="10"/>
    </row>
    <row r="208" spans="14:14" ht="16.5" customHeight="1">
      <c r="N208" s="10"/>
    </row>
    <row r="209" spans="14:14" ht="16.5" customHeight="1">
      <c r="N209" s="10"/>
    </row>
    <row r="210" spans="14:14" ht="16.5" customHeight="1">
      <c r="N210" s="10"/>
    </row>
    <row r="211" spans="14:14" ht="16.5" customHeight="1">
      <c r="N211" s="10"/>
    </row>
    <row r="212" spans="14:14" ht="16.5" customHeight="1">
      <c r="N212" s="10"/>
    </row>
    <row r="213" spans="14:14" ht="16.5" customHeight="1">
      <c r="N213" s="10"/>
    </row>
    <row r="214" spans="14:14" ht="16.5" customHeight="1">
      <c r="N214" s="10"/>
    </row>
    <row r="215" spans="14:14" ht="16.5" customHeight="1">
      <c r="N215" s="10"/>
    </row>
    <row r="216" spans="14:14" ht="16.5" customHeight="1">
      <c r="N216" s="10"/>
    </row>
    <row r="217" spans="14:14" ht="16.5" customHeight="1">
      <c r="N217" s="10"/>
    </row>
    <row r="218" spans="14:14" ht="16.5" customHeight="1">
      <c r="N218" s="10"/>
    </row>
    <row r="219" spans="14:14" ht="16.5" customHeight="1">
      <c r="N219" s="10"/>
    </row>
    <row r="220" spans="14:14" ht="16.5" customHeight="1">
      <c r="N220" s="10"/>
    </row>
    <row r="221" spans="14:14" ht="16.5" customHeight="1">
      <c r="N221" s="10"/>
    </row>
    <row r="222" spans="14:14" ht="16.5" customHeight="1">
      <c r="N222" s="10"/>
    </row>
    <row r="223" spans="14:14" ht="16.5" customHeight="1">
      <c r="N223" s="10"/>
    </row>
    <row r="224" spans="14:14" ht="16.5" customHeight="1">
      <c r="N224" s="10"/>
    </row>
    <row r="225" spans="14:14" ht="16.5" customHeight="1">
      <c r="N225" s="10"/>
    </row>
    <row r="226" spans="14:14" ht="16.5" customHeight="1">
      <c r="N226" s="10"/>
    </row>
    <row r="227" spans="14:14" ht="16.5" customHeight="1">
      <c r="N227" s="10"/>
    </row>
    <row r="228" spans="14:14" ht="16.5" customHeight="1">
      <c r="N228" s="10"/>
    </row>
    <row r="229" spans="14:14" ht="16.5" customHeight="1">
      <c r="N229" s="10"/>
    </row>
    <row r="230" spans="14:14" ht="16.5" customHeight="1">
      <c r="N230" s="10"/>
    </row>
    <row r="231" spans="14:14" ht="16.5" customHeight="1">
      <c r="N231" s="10"/>
    </row>
    <row r="232" spans="14:14" ht="16.5" customHeight="1">
      <c r="N232" s="10"/>
    </row>
    <row r="233" spans="14:14" ht="16.5" customHeight="1">
      <c r="N233" s="10"/>
    </row>
    <row r="234" spans="14:14" ht="16.5" customHeight="1">
      <c r="N234" s="10"/>
    </row>
    <row r="235" spans="14:14" ht="16.5" customHeight="1">
      <c r="N235" s="10"/>
    </row>
    <row r="236" spans="14:14" ht="16.5" customHeight="1">
      <c r="N236" s="10"/>
    </row>
    <row r="237" spans="14:14" ht="16.5" customHeight="1">
      <c r="N237" s="10"/>
    </row>
    <row r="238" spans="14:14" ht="16.5" customHeight="1">
      <c r="N238" s="10"/>
    </row>
    <row r="239" spans="14:14" ht="16.5" customHeight="1">
      <c r="N239" s="10"/>
    </row>
    <row r="240" spans="14:14" ht="16.5" customHeight="1">
      <c r="N240" s="10"/>
    </row>
    <row r="241" spans="14:14" ht="16.5" customHeight="1">
      <c r="N241" s="10"/>
    </row>
    <row r="242" spans="14:14" ht="16.5" customHeight="1">
      <c r="N242" s="10"/>
    </row>
    <row r="243" spans="14:14" ht="16.5" customHeight="1">
      <c r="N243" s="10"/>
    </row>
    <row r="244" spans="14:14" ht="16.5" customHeight="1">
      <c r="N244" s="10"/>
    </row>
    <row r="245" spans="14:14" ht="16.5" customHeight="1">
      <c r="N245" s="10"/>
    </row>
    <row r="246" spans="14:14" ht="16.5" customHeight="1">
      <c r="N246" s="10"/>
    </row>
    <row r="247" spans="14:14" ht="16.5" customHeight="1">
      <c r="N247" s="10"/>
    </row>
    <row r="248" spans="14:14" ht="16.5" customHeight="1">
      <c r="N248" s="10"/>
    </row>
    <row r="249" spans="14:14" ht="16.5" customHeight="1">
      <c r="N249" s="10"/>
    </row>
    <row r="250" spans="14:14" ht="16.5" customHeight="1">
      <c r="N250" s="10"/>
    </row>
    <row r="251" spans="14:14" ht="16.5" customHeight="1">
      <c r="N251" s="10"/>
    </row>
    <row r="252" spans="14:14" ht="16.5" customHeight="1">
      <c r="N252" s="10"/>
    </row>
    <row r="253" spans="14:14" ht="16.5" customHeight="1">
      <c r="N253" s="10"/>
    </row>
    <row r="254" spans="14:14" ht="16.5" customHeight="1">
      <c r="N254" s="10"/>
    </row>
    <row r="255" spans="14:14" ht="16.5" customHeight="1">
      <c r="N255" s="10"/>
    </row>
    <row r="256" spans="14:14" ht="16.5" customHeight="1">
      <c r="N256" s="10"/>
    </row>
    <row r="257" spans="14:14" ht="16.5" customHeight="1">
      <c r="N257" s="10"/>
    </row>
    <row r="258" spans="14:14" ht="16.5" customHeight="1">
      <c r="N258" s="10"/>
    </row>
    <row r="259" spans="14:14" ht="16.5" customHeight="1">
      <c r="N259" s="10"/>
    </row>
    <row r="260" spans="14:14" ht="16.5" customHeight="1"/>
    <row r="261" spans="14:14" ht="16.5" customHeight="1"/>
    <row r="262" spans="14:14" ht="16.5" customHeight="1"/>
    <row r="263" spans="14:14" ht="16.5" customHeight="1"/>
    <row r="264" spans="14:14" ht="16.5" customHeight="1"/>
    <row r="265" spans="14:14" ht="16.5" customHeight="1"/>
    <row r="266" spans="14:14" ht="16.5" customHeight="1"/>
    <row r="267" spans="14:14" ht="16.5" customHeight="1"/>
    <row r="268" spans="14:14" ht="16.5" customHeight="1"/>
    <row r="269" spans="14:14" ht="16.5" customHeight="1"/>
    <row r="270" spans="14:14" ht="16.5" customHeight="1"/>
    <row r="271" spans="14:14" ht="16.5" customHeight="1"/>
    <row r="272" spans="14:14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</sheetData>
  <phoneticPr fontId="6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1003"/>
  <sheetViews>
    <sheetView workbookViewId="0">
      <selection activeCell="F21" sqref="F21"/>
    </sheetView>
  </sheetViews>
  <sheetFormatPr defaultColWidth="12.54296875" defaultRowHeight="15" customHeight="1"/>
  <cols>
    <col min="1" max="1" width="10.7265625" style="28" customWidth="1"/>
    <col min="2" max="2" width="13.453125" style="28" customWidth="1"/>
    <col min="3" max="7" width="10.7265625" style="28" customWidth="1"/>
    <col min="8" max="8" width="17" style="28" customWidth="1"/>
    <col min="9" max="26" width="7.54296875" style="14" customWidth="1"/>
    <col min="27" max="16384" width="12.54296875" style="14"/>
  </cols>
  <sheetData>
    <row r="1" spans="1:8" ht="16.5" customHeight="1">
      <c r="A1" s="28" t="s">
        <v>0</v>
      </c>
      <c r="B1" s="28" t="s">
        <v>27</v>
      </c>
      <c r="C1" s="28" t="s">
        <v>2</v>
      </c>
      <c r="D1" s="28" t="s">
        <v>28</v>
      </c>
      <c r="E1" s="28" t="s">
        <v>293</v>
      </c>
      <c r="F1" s="28" t="s">
        <v>29</v>
      </c>
      <c r="G1" s="28" t="s">
        <v>30</v>
      </c>
      <c r="H1" s="28" t="s">
        <v>133</v>
      </c>
    </row>
    <row r="2" spans="1:8" ht="16.5" customHeight="1">
      <c r="A2" s="28" t="s">
        <v>14</v>
      </c>
      <c r="B2" s="28" t="s">
        <v>15</v>
      </c>
      <c r="C2" s="28" t="s">
        <v>16</v>
      </c>
      <c r="D2" s="28" t="s">
        <v>31</v>
      </c>
      <c r="E2" s="28">
        <v>1300</v>
      </c>
      <c r="F2" s="28">
        <v>1300</v>
      </c>
      <c r="G2" s="28">
        <v>51610</v>
      </c>
      <c r="H2" s="28" t="s">
        <v>294</v>
      </c>
    </row>
    <row r="3" spans="1:8" ht="16.5" customHeight="1">
      <c r="A3" s="28" t="s">
        <v>14</v>
      </c>
      <c r="B3" s="28" t="s">
        <v>15</v>
      </c>
      <c r="C3" s="28" t="s">
        <v>16</v>
      </c>
      <c r="D3" s="28" t="s">
        <v>31</v>
      </c>
      <c r="E3" s="28">
        <v>1300</v>
      </c>
      <c r="F3" s="28">
        <v>1400</v>
      </c>
      <c r="G3" s="28">
        <v>53600</v>
      </c>
    </row>
    <row r="4" spans="1:8" ht="16.5" customHeight="1">
      <c r="A4" s="28" t="s">
        <v>14</v>
      </c>
      <c r="B4" s="28" t="s">
        <v>15</v>
      </c>
      <c r="C4" s="28" t="s">
        <v>16</v>
      </c>
      <c r="D4" s="28" t="s">
        <v>31</v>
      </c>
      <c r="E4" s="28">
        <v>1300</v>
      </c>
      <c r="F4" s="28">
        <v>1500</v>
      </c>
      <c r="G4" s="28">
        <v>55485</v>
      </c>
    </row>
    <row r="5" spans="1:8" ht="16.5" customHeight="1">
      <c r="A5" s="28" t="s">
        <v>14</v>
      </c>
      <c r="B5" s="28" t="s">
        <v>15</v>
      </c>
      <c r="C5" s="28" t="s">
        <v>16</v>
      </c>
      <c r="D5" s="28" t="s">
        <v>31</v>
      </c>
      <c r="E5" s="28">
        <v>1300</v>
      </c>
      <c r="F5" s="28">
        <v>1600</v>
      </c>
      <c r="G5" s="28">
        <v>57790</v>
      </c>
    </row>
    <row r="6" spans="1:8" ht="16.5" customHeight="1">
      <c r="A6" s="28" t="s">
        <v>14</v>
      </c>
      <c r="B6" s="28" t="s">
        <v>15</v>
      </c>
      <c r="C6" s="28" t="s">
        <v>16</v>
      </c>
      <c r="D6" s="28" t="s">
        <v>31</v>
      </c>
      <c r="E6" s="28">
        <v>1400</v>
      </c>
      <c r="F6" s="28">
        <v>1300</v>
      </c>
      <c r="G6" s="28">
        <v>53600</v>
      </c>
    </row>
    <row r="7" spans="1:8" ht="16.5" customHeight="1">
      <c r="A7" s="28" t="s">
        <v>14</v>
      </c>
      <c r="B7" s="28" t="s">
        <v>15</v>
      </c>
      <c r="C7" s="28" t="s">
        <v>16</v>
      </c>
      <c r="D7" s="28" t="s">
        <v>31</v>
      </c>
      <c r="E7" s="28">
        <v>1400</v>
      </c>
      <c r="F7" s="28">
        <v>1400</v>
      </c>
      <c r="G7" s="28">
        <v>55695</v>
      </c>
    </row>
    <row r="8" spans="1:8" ht="16.5" customHeight="1">
      <c r="A8" s="28" t="s">
        <v>14</v>
      </c>
      <c r="B8" s="28" t="s">
        <v>15</v>
      </c>
      <c r="C8" s="28" t="s">
        <v>16</v>
      </c>
      <c r="D8" s="28" t="s">
        <v>31</v>
      </c>
      <c r="E8" s="28">
        <v>1400</v>
      </c>
      <c r="F8" s="28">
        <v>1500</v>
      </c>
      <c r="G8" s="28">
        <v>57581</v>
      </c>
    </row>
    <row r="9" spans="1:8" ht="16.5" customHeight="1">
      <c r="A9" s="28" t="s">
        <v>14</v>
      </c>
      <c r="B9" s="28" t="s">
        <v>15</v>
      </c>
      <c r="C9" s="28" t="s">
        <v>16</v>
      </c>
      <c r="D9" s="28" t="s">
        <v>31</v>
      </c>
      <c r="E9" s="28">
        <v>1400</v>
      </c>
      <c r="F9" s="28">
        <v>1600</v>
      </c>
      <c r="G9" s="28">
        <v>59676</v>
      </c>
    </row>
    <row r="10" spans="1:8" ht="16.5" customHeight="1">
      <c r="A10" s="28" t="s">
        <v>14</v>
      </c>
      <c r="B10" s="28" t="s">
        <v>15</v>
      </c>
      <c r="C10" s="28" t="s">
        <v>16</v>
      </c>
      <c r="D10" s="28" t="s">
        <v>31</v>
      </c>
      <c r="E10" s="28">
        <v>1500</v>
      </c>
      <c r="F10" s="28">
        <v>1300</v>
      </c>
      <c r="G10" s="28">
        <v>55485</v>
      </c>
    </row>
    <row r="11" spans="1:8" ht="16.5" customHeight="1">
      <c r="A11" s="28" t="s">
        <v>14</v>
      </c>
      <c r="B11" s="28" t="s">
        <v>15</v>
      </c>
      <c r="C11" s="28" t="s">
        <v>16</v>
      </c>
      <c r="D11" s="28" t="s">
        <v>31</v>
      </c>
      <c r="E11" s="28">
        <v>1500</v>
      </c>
      <c r="F11" s="28">
        <v>1400</v>
      </c>
      <c r="G11" s="28">
        <v>57581</v>
      </c>
    </row>
    <row r="12" spans="1:8" ht="16.5" customHeight="1">
      <c r="A12" s="28" t="s">
        <v>14</v>
      </c>
      <c r="B12" s="28" t="s">
        <v>15</v>
      </c>
      <c r="C12" s="28" t="s">
        <v>16</v>
      </c>
      <c r="D12" s="28" t="s">
        <v>31</v>
      </c>
      <c r="E12" s="28">
        <v>1500</v>
      </c>
      <c r="F12" s="28">
        <v>1500</v>
      </c>
      <c r="G12" s="28">
        <v>59676</v>
      </c>
    </row>
    <row r="13" spans="1:8" ht="16.5" customHeight="1">
      <c r="A13" s="28" t="s">
        <v>14</v>
      </c>
      <c r="B13" s="28" t="s">
        <v>15</v>
      </c>
      <c r="C13" s="28" t="s">
        <v>16</v>
      </c>
      <c r="D13" s="28" t="s">
        <v>31</v>
      </c>
      <c r="E13" s="28">
        <v>1500</v>
      </c>
      <c r="F13" s="28">
        <v>1600</v>
      </c>
      <c r="G13" s="28">
        <v>61771</v>
      </c>
    </row>
    <row r="14" spans="1:8" ht="16.5" customHeight="1">
      <c r="A14" s="28" t="s">
        <v>14</v>
      </c>
      <c r="B14" s="28" t="s">
        <v>15</v>
      </c>
      <c r="C14" s="28" t="s">
        <v>16</v>
      </c>
      <c r="D14" s="28" t="s">
        <v>31</v>
      </c>
      <c r="E14" s="28">
        <v>1600</v>
      </c>
      <c r="F14" s="28">
        <v>1300</v>
      </c>
      <c r="G14" s="28">
        <v>57790</v>
      </c>
    </row>
    <row r="15" spans="1:8" ht="16.5" customHeight="1">
      <c r="A15" s="47" t="s">
        <v>14</v>
      </c>
      <c r="B15" s="47" t="s">
        <v>15</v>
      </c>
      <c r="C15" s="47" t="s">
        <v>16</v>
      </c>
      <c r="D15" s="47" t="s">
        <v>31</v>
      </c>
      <c r="E15" s="47">
        <v>1600</v>
      </c>
      <c r="F15" s="47">
        <v>1250</v>
      </c>
      <c r="G15" s="47">
        <v>130000</v>
      </c>
      <c r="H15" s="28" t="s">
        <v>325</v>
      </c>
    </row>
    <row r="16" spans="1:8" ht="16.5" customHeight="1">
      <c r="A16" s="28" t="s">
        <v>14</v>
      </c>
      <c r="B16" s="28" t="s">
        <v>15</v>
      </c>
      <c r="C16" s="28" t="s">
        <v>16</v>
      </c>
      <c r="D16" s="28" t="s">
        <v>295</v>
      </c>
      <c r="E16" s="28">
        <v>600</v>
      </c>
      <c r="F16" s="28">
        <v>850</v>
      </c>
      <c r="G16" s="28">
        <v>20666</v>
      </c>
    </row>
    <row r="17" spans="1:22" ht="16.5" customHeight="1">
      <c r="A17" s="28" t="s">
        <v>14</v>
      </c>
      <c r="B17" s="28" t="s">
        <v>15</v>
      </c>
      <c r="C17" s="28" t="s">
        <v>16</v>
      </c>
      <c r="D17" s="28" t="s">
        <v>295</v>
      </c>
      <c r="E17" s="28">
        <v>600</v>
      </c>
      <c r="F17" s="28">
        <v>900</v>
      </c>
      <c r="G17" s="28">
        <v>21190</v>
      </c>
    </row>
    <row r="18" spans="1:22" ht="16.5" customHeight="1">
      <c r="A18" s="28" t="s">
        <v>14</v>
      </c>
      <c r="B18" s="28" t="s">
        <v>15</v>
      </c>
      <c r="C18" s="28" t="s">
        <v>16</v>
      </c>
      <c r="D18" s="28" t="s">
        <v>295</v>
      </c>
      <c r="E18" s="28">
        <v>700</v>
      </c>
      <c r="F18" s="28">
        <v>900</v>
      </c>
      <c r="G18" s="28">
        <v>22342</v>
      </c>
    </row>
    <row r="19" spans="1:22" ht="16.5" customHeight="1">
      <c r="A19" s="28" t="s">
        <v>14</v>
      </c>
      <c r="B19" s="28" t="s">
        <v>15</v>
      </c>
      <c r="C19" s="28" t="s">
        <v>16</v>
      </c>
      <c r="D19" s="28" t="s">
        <v>295</v>
      </c>
      <c r="E19" s="28">
        <v>800</v>
      </c>
      <c r="F19" s="28">
        <v>900</v>
      </c>
      <c r="G19" s="28">
        <v>23494</v>
      </c>
      <c r="O19" s="37"/>
      <c r="U19" s="37"/>
    </row>
    <row r="20" spans="1:22" ht="16.5" customHeight="1">
      <c r="A20" s="28" t="s">
        <v>14</v>
      </c>
      <c r="B20" s="28" t="s">
        <v>15</v>
      </c>
      <c r="C20" s="28" t="s">
        <v>16</v>
      </c>
      <c r="D20" s="28" t="s">
        <v>295</v>
      </c>
      <c r="E20" s="28">
        <v>900</v>
      </c>
      <c r="F20" s="28">
        <v>900</v>
      </c>
      <c r="G20" s="28">
        <v>25066</v>
      </c>
      <c r="O20" s="37"/>
      <c r="U20" s="37"/>
    </row>
    <row r="21" spans="1:22" ht="16.5" customHeight="1">
      <c r="A21" s="28" t="s">
        <v>14</v>
      </c>
      <c r="B21" s="28" t="s">
        <v>15</v>
      </c>
      <c r="C21" s="28" t="s">
        <v>16</v>
      </c>
      <c r="D21" s="28" t="s">
        <v>295</v>
      </c>
      <c r="E21" s="28">
        <v>900</v>
      </c>
      <c r="F21" s="28">
        <v>950</v>
      </c>
      <c r="G21" s="28">
        <v>0</v>
      </c>
      <c r="H21" s="28" t="s">
        <v>325</v>
      </c>
      <c r="P21" s="37"/>
      <c r="R21" s="37"/>
      <c r="S21" s="37"/>
      <c r="T21" s="37"/>
      <c r="U21" s="37"/>
      <c r="V21" s="37"/>
    </row>
    <row r="22" spans="1:22" ht="16.5" customHeight="1">
      <c r="A22" s="28" t="s">
        <v>14</v>
      </c>
      <c r="B22" s="28" t="s">
        <v>15</v>
      </c>
      <c r="C22" s="28" t="s">
        <v>16</v>
      </c>
      <c r="D22" s="28" t="s">
        <v>295</v>
      </c>
      <c r="E22" s="28">
        <v>950</v>
      </c>
      <c r="F22" s="28">
        <v>900</v>
      </c>
      <c r="G22" s="28">
        <v>26113</v>
      </c>
      <c r="P22" s="37"/>
      <c r="R22" s="37"/>
      <c r="S22" s="37"/>
      <c r="T22" s="37"/>
      <c r="U22" s="37"/>
      <c r="V22" s="37"/>
    </row>
    <row r="23" spans="1:22" ht="16.5" customHeight="1">
      <c r="A23" s="28" t="s">
        <v>14</v>
      </c>
      <c r="B23" s="28" t="s">
        <v>15</v>
      </c>
      <c r="C23" s="28" t="s">
        <v>16</v>
      </c>
      <c r="D23" s="28" t="s">
        <v>295</v>
      </c>
      <c r="E23" s="28">
        <v>900</v>
      </c>
      <c r="F23" s="28">
        <v>1000</v>
      </c>
      <c r="G23" s="28">
        <v>27161</v>
      </c>
      <c r="P23" s="37"/>
      <c r="R23" s="37"/>
      <c r="S23" s="37"/>
      <c r="T23" s="37"/>
      <c r="U23" s="37"/>
      <c r="V23" s="37"/>
    </row>
    <row r="24" spans="1:22" ht="16.5" customHeight="1">
      <c r="A24" s="28" t="s">
        <v>14</v>
      </c>
      <c r="B24" s="28" t="s">
        <v>15</v>
      </c>
      <c r="C24" s="28" t="s">
        <v>16</v>
      </c>
      <c r="D24" s="28" t="s">
        <v>295</v>
      </c>
      <c r="E24" s="28">
        <v>1000</v>
      </c>
      <c r="F24" s="28">
        <v>1000</v>
      </c>
      <c r="G24" s="28">
        <v>29256</v>
      </c>
      <c r="P24" s="37"/>
      <c r="R24" s="37"/>
      <c r="S24" s="37"/>
      <c r="T24" s="37"/>
      <c r="U24" s="37"/>
      <c r="V24" s="37"/>
    </row>
    <row r="25" spans="1:22" ht="16.5" customHeight="1">
      <c r="A25" s="28" t="s">
        <v>24</v>
      </c>
      <c r="B25" s="28" t="s">
        <v>15</v>
      </c>
      <c r="C25" s="28" t="s">
        <v>16</v>
      </c>
      <c r="D25" s="28" t="s">
        <v>31</v>
      </c>
      <c r="E25" s="28">
        <v>1200</v>
      </c>
      <c r="F25" s="28">
        <v>1450</v>
      </c>
      <c r="G25" s="33">
        <v>50000</v>
      </c>
      <c r="P25" s="37"/>
      <c r="R25" s="37"/>
      <c r="S25" s="37"/>
      <c r="T25" s="37"/>
      <c r="U25" s="37"/>
      <c r="V25" s="37"/>
    </row>
    <row r="26" spans="1:22" ht="16.5" customHeight="1">
      <c r="A26" s="28" t="s">
        <v>24</v>
      </c>
      <c r="B26" s="28" t="s">
        <v>15</v>
      </c>
      <c r="C26" s="28" t="s">
        <v>16</v>
      </c>
      <c r="D26" s="28" t="s">
        <v>31</v>
      </c>
      <c r="E26" s="28">
        <v>1200</v>
      </c>
      <c r="F26" s="28">
        <v>1500</v>
      </c>
      <c r="G26" s="33">
        <v>50001</v>
      </c>
      <c r="P26" s="28"/>
    </row>
    <row r="27" spans="1:22" ht="16.5" customHeight="1">
      <c r="A27" s="28" t="s">
        <v>24</v>
      </c>
      <c r="B27" s="28" t="s">
        <v>15</v>
      </c>
      <c r="C27" s="28" t="s">
        <v>16</v>
      </c>
      <c r="D27" s="28" t="s">
        <v>31</v>
      </c>
      <c r="E27" s="28">
        <v>1300</v>
      </c>
      <c r="F27" s="28">
        <v>1500</v>
      </c>
      <c r="G27" s="33">
        <v>50002</v>
      </c>
      <c r="P27" s="28"/>
      <c r="R27" s="28"/>
      <c r="S27" s="28"/>
      <c r="T27" s="28"/>
      <c r="U27" s="28"/>
    </row>
    <row r="28" spans="1:22" ht="16.5" customHeight="1">
      <c r="A28" s="28" t="s">
        <v>24</v>
      </c>
      <c r="B28" s="28" t="s">
        <v>15</v>
      </c>
      <c r="C28" s="28" t="s">
        <v>16</v>
      </c>
      <c r="D28" s="28" t="s">
        <v>31</v>
      </c>
      <c r="E28" s="28">
        <v>1400</v>
      </c>
      <c r="F28" s="28">
        <v>1500</v>
      </c>
      <c r="G28" s="33">
        <v>50003</v>
      </c>
      <c r="P28" s="28"/>
      <c r="R28" s="28"/>
      <c r="S28" s="28"/>
      <c r="T28" s="28"/>
      <c r="U28" s="28"/>
    </row>
    <row r="29" spans="1:22" ht="16.5" customHeight="1">
      <c r="A29" s="28" t="s">
        <v>24</v>
      </c>
      <c r="B29" s="28" t="s">
        <v>15</v>
      </c>
      <c r="C29" s="28" t="s">
        <v>16</v>
      </c>
      <c r="D29" s="28" t="s">
        <v>31</v>
      </c>
      <c r="E29" s="28">
        <v>1600</v>
      </c>
      <c r="F29" s="28">
        <v>1500</v>
      </c>
      <c r="G29" s="33">
        <v>50004</v>
      </c>
      <c r="P29" s="28"/>
      <c r="R29" s="28"/>
      <c r="S29" s="28"/>
      <c r="T29" s="28"/>
      <c r="U29" s="28"/>
    </row>
    <row r="30" spans="1:22" ht="16.5" customHeight="1">
      <c r="A30" s="28" t="s">
        <v>24</v>
      </c>
      <c r="B30" s="28" t="s">
        <v>15</v>
      </c>
      <c r="C30" s="28" t="s">
        <v>16</v>
      </c>
      <c r="D30" s="28" t="s">
        <v>31</v>
      </c>
      <c r="E30" s="28">
        <v>1250</v>
      </c>
      <c r="F30" s="28">
        <v>1600</v>
      </c>
      <c r="G30" s="33">
        <v>50005</v>
      </c>
      <c r="P30" s="28"/>
      <c r="R30" s="28"/>
      <c r="S30" s="28"/>
      <c r="T30" s="28"/>
      <c r="U30" s="28"/>
    </row>
    <row r="31" spans="1:22" ht="16.5" customHeight="1">
      <c r="A31" s="28" t="s">
        <v>24</v>
      </c>
      <c r="B31" s="28" t="s">
        <v>15</v>
      </c>
      <c r="C31" s="28" t="s">
        <v>16</v>
      </c>
      <c r="D31" s="28" t="s">
        <v>31</v>
      </c>
      <c r="E31" s="28">
        <v>1300</v>
      </c>
      <c r="F31" s="28">
        <v>1600</v>
      </c>
      <c r="G31" s="33">
        <v>50006</v>
      </c>
      <c r="P31" s="28"/>
      <c r="R31" s="28"/>
      <c r="S31" s="28"/>
      <c r="T31" s="28"/>
      <c r="U31" s="28"/>
    </row>
    <row r="32" spans="1:22" ht="16.5" customHeight="1">
      <c r="A32" s="28" t="s">
        <v>24</v>
      </c>
      <c r="B32" s="28" t="s">
        <v>15</v>
      </c>
      <c r="C32" s="28" t="s">
        <v>16</v>
      </c>
      <c r="D32" s="28" t="s">
        <v>31</v>
      </c>
      <c r="E32" s="28">
        <v>1600</v>
      </c>
      <c r="F32" s="28">
        <v>1300</v>
      </c>
      <c r="G32" s="33">
        <v>50007</v>
      </c>
      <c r="P32" s="28"/>
      <c r="R32" s="28"/>
      <c r="S32" s="28"/>
      <c r="T32" s="28"/>
      <c r="U32" s="28"/>
    </row>
    <row r="33" spans="1:21" ht="16.5" customHeight="1">
      <c r="A33" s="28" t="s">
        <v>24</v>
      </c>
      <c r="B33" s="28" t="s">
        <v>15</v>
      </c>
      <c r="C33" s="28" t="s">
        <v>16</v>
      </c>
      <c r="D33" s="28" t="s">
        <v>31</v>
      </c>
      <c r="E33" s="28">
        <v>1350</v>
      </c>
      <c r="F33" s="28">
        <v>1600</v>
      </c>
      <c r="G33" s="33">
        <v>50008</v>
      </c>
      <c r="P33" s="28"/>
      <c r="R33" s="28"/>
      <c r="S33" s="28"/>
      <c r="T33" s="28"/>
      <c r="U33" s="28"/>
    </row>
    <row r="34" spans="1:21" ht="16.5" customHeight="1">
      <c r="A34" s="28" t="s">
        <v>24</v>
      </c>
      <c r="B34" s="28" t="s">
        <v>15</v>
      </c>
      <c r="C34" s="28" t="s">
        <v>16</v>
      </c>
      <c r="D34" s="28" t="s">
        <v>31</v>
      </c>
      <c r="E34" s="28">
        <v>1250</v>
      </c>
      <c r="F34" s="28">
        <v>1700</v>
      </c>
      <c r="G34" s="33">
        <v>50009</v>
      </c>
      <c r="P34" s="28"/>
      <c r="R34" s="28"/>
      <c r="S34" s="28"/>
      <c r="T34" s="28"/>
      <c r="U34" s="28"/>
    </row>
    <row r="35" spans="1:21" ht="16.5" customHeight="1">
      <c r="A35" s="28" t="s">
        <v>24</v>
      </c>
      <c r="B35" s="28" t="s">
        <v>15</v>
      </c>
      <c r="C35" s="28" t="s">
        <v>16</v>
      </c>
      <c r="D35" s="28" t="s">
        <v>31</v>
      </c>
      <c r="E35" s="28">
        <v>1300</v>
      </c>
      <c r="F35" s="28">
        <v>1700</v>
      </c>
      <c r="G35" s="33">
        <v>50010</v>
      </c>
    </row>
    <row r="36" spans="1:21" ht="16.5" customHeight="1">
      <c r="A36" s="28" t="s">
        <v>24</v>
      </c>
      <c r="B36" s="28" t="s">
        <v>15</v>
      </c>
      <c r="C36" s="28" t="s">
        <v>16</v>
      </c>
      <c r="D36" s="28" t="s">
        <v>31</v>
      </c>
      <c r="E36" s="28">
        <v>1350</v>
      </c>
      <c r="F36" s="28">
        <v>1700</v>
      </c>
      <c r="G36" s="33">
        <v>50011</v>
      </c>
    </row>
    <row r="37" spans="1:21" ht="16.5" customHeight="1">
      <c r="A37" s="28" t="s">
        <v>24</v>
      </c>
      <c r="B37" s="28" t="s">
        <v>15</v>
      </c>
      <c r="C37" s="28" t="s">
        <v>16</v>
      </c>
      <c r="D37" s="28" t="s">
        <v>31</v>
      </c>
      <c r="E37" s="28">
        <v>1400</v>
      </c>
      <c r="F37" s="28">
        <v>1700</v>
      </c>
      <c r="G37" s="33">
        <v>50012</v>
      </c>
    </row>
    <row r="38" spans="1:21" ht="16.5" customHeight="1">
      <c r="A38" s="28" t="s">
        <v>24</v>
      </c>
      <c r="B38" s="28" t="s">
        <v>15</v>
      </c>
      <c r="C38" s="28" t="s">
        <v>16</v>
      </c>
      <c r="D38" s="28" t="s">
        <v>31</v>
      </c>
      <c r="E38" s="28">
        <v>1300</v>
      </c>
      <c r="F38" s="28">
        <v>1800</v>
      </c>
      <c r="G38" s="33">
        <v>50013</v>
      </c>
    </row>
    <row r="39" spans="1:21" ht="16.5" customHeight="1">
      <c r="A39" s="28" t="s">
        <v>24</v>
      </c>
      <c r="B39" s="28" t="s">
        <v>15</v>
      </c>
      <c r="C39" s="28" t="s">
        <v>16</v>
      </c>
      <c r="D39" s="28" t="s">
        <v>31</v>
      </c>
      <c r="E39" s="28">
        <v>1800</v>
      </c>
      <c r="F39" s="28">
        <v>1800</v>
      </c>
      <c r="G39" s="33">
        <v>50014</v>
      </c>
    </row>
    <row r="40" spans="1:21" ht="16.5" customHeight="1">
      <c r="A40" s="28" t="s">
        <v>24</v>
      </c>
      <c r="B40" s="28" t="s">
        <v>15</v>
      </c>
      <c r="C40" s="28" t="s">
        <v>16</v>
      </c>
      <c r="D40" s="28" t="s">
        <v>31</v>
      </c>
      <c r="E40" s="28">
        <v>1300</v>
      </c>
      <c r="F40" s="28">
        <v>1400</v>
      </c>
      <c r="G40" s="33">
        <v>50015</v>
      </c>
      <c r="O40" s="28"/>
    </row>
    <row r="41" spans="1:21" ht="16.5" customHeight="1">
      <c r="A41" s="28" t="s">
        <v>24</v>
      </c>
      <c r="B41" s="28" t="s">
        <v>15</v>
      </c>
      <c r="C41" s="28" t="s">
        <v>16</v>
      </c>
      <c r="D41" s="28" t="s">
        <v>31</v>
      </c>
      <c r="E41" s="28">
        <v>1400</v>
      </c>
      <c r="F41" s="28">
        <v>1600</v>
      </c>
      <c r="G41" s="33">
        <v>50016</v>
      </c>
    </row>
    <row r="42" spans="1:21" ht="16.5" customHeight="1">
      <c r="A42" s="28" t="s">
        <v>24</v>
      </c>
      <c r="B42" s="28" t="s">
        <v>15</v>
      </c>
      <c r="C42" s="28" t="s">
        <v>16</v>
      </c>
      <c r="D42" s="28" t="s">
        <v>295</v>
      </c>
      <c r="E42" s="28">
        <v>900</v>
      </c>
      <c r="F42" s="28">
        <v>900</v>
      </c>
      <c r="G42" s="33">
        <v>50017</v>
      </c>
    </row>
    <row r="43" spans="1:21" ht="16.5" customHeight="1">
      <c r="A43" s="28" t="s">
        <v>24</v>
      </c>
      <c r="B43" s="28" t="s">
        <v>15</v>
      </c>
      <c r="C43" s="28" t="s">
        <v>16</v>
      </c>
      <c r="D43" s="28" t="s">
        <v>295</v>
      </c>
      <c r="E43" s="28">
        <v>900</v>
      </c>
      <c r="F43" s="28">
        <v>1100</v>
      </c>
      <c r="G43" s="33">
        <v>50018</v>
      </c>
    </row>
    <row r="44" spans="1:21" ht="16.5" customHeight="1">
      <c r="A44" s="28" t="s">
        <v>24</v>
      </c>
      <c r="B44" s="28" t="s">
        <v>15</v>
      </c>
      <c r="C44" s="28" t="s">
        <v>16</v>
      </c>
      <c r="D44" s="28" t="s">
        <v>295</v>
      </c>
      <c r="E44" s="28">
        <v>1100</v>
      </c>
      <c r="F44" s="28">
        <v>900</v>
      </c>
      <c r="G44" s="33">
        <v>50019</v>
      </c>
    </row>
    <row r="45" spans="1:21" ht="16.5" customHeight="1">
      <c r="A45" s="28" t="s">
        <v>24</v>
      </c>
      <c r="B45" s="28" t="s">
        <v>15</v>
      </c>
      <c r="C45" s="28" t="s">
        <v>16</v>
      </c>
      <c r="D45" s="28" t="s">
        <v>295</v>
      </c>
      <c r="E45" s="28">
        <v>1000</v>
      </c>
      <c r="F45" s="28">
        <v>1000</v>
      </c>
      <c r="G45" s="33">
        <v>50020</v>
      </c>
    </row>
    <row r="46" spans="1:21" ht="16.5" customHeight="1">
      <c r="A46" s="28" t="s">
        <v>24</v>
      </c>
      <c r="B46" s="28" t="s">
        <v>15</v>
      </c>
      <c r="C46" s="28" t="s">
        <v>16</v>
      </c>
      <c r="D46" s="28" t="s">
        <v>295</v>
      </c>
      <c r="E46" s="28">
        <v>950</v>
      </c>
      <c r="F46" s="28">
        <v>900</v>
      </c>
      <c r="G46" s="33">
        <v>50021</v>
      </c>
    </row>
    <row r="47" spans="1:21" ht="16.5" customHeight="1">
      <c r="A47" s="28" t="s">
        <v>24</v>
      </c>
      <c r="B47" s="28" t="s">
        <v>15</v>
      </c>
      <c r="C47" s="28" t="s">
        <v>16</v>
      </c>
      <c r="D47" s="28" t="s">
        <v>295</v>
      </c>
      <c r="E47" s="28">
        <v>950</v>
      </c>
      <c r="F47" s="28">
        <v>1000</v>
      </c>
      <c r="G47" s="33">
        <v>50022</v>
      </c>
    </row>
    <row r="48" spans="1:21" ht="16.5" customHeight="1">
      <c r="A48" s="28" t="s">
        <v>24</v>
      </c>
      <c r="B48" s="28" t="s">
        <v>15</v>
      </c>
      <c r="C48" s="28" t="s">
        <v>16</v>
      </c>
      <c r="D48" s="28" t="s">
        <v>295</v>
      </c>
      <c r="E48" s="28">
        <v>1050</v>
      </c>
      <c r="F48" s="28">
        <v>1050</v>
      </c>
      <c r="G48" s="33">
        <v>50023</v>
      </c>
    </row>
    <row r="49" spans="1:10" ht="16.5" customHeight="1">
      <c r="A49" s="28" t="s">
        <v>24</v>
      </c>
      <c r="B49" s="28" t="s">
        <v>15</v>
      </c>
      <c r="C49" s="28" t="s">
        <v>16</v>
      </c>
      <c r="D49" s="28" t="s">
        <v>295</v>
      </c>
      <c r="E49" s="28">
        <v>1100</v>
      </c>
      <c r="F49" s="28">
        <v>1000</v>
      </c>
      <c r="G49" s="33">
        <v>50024</v>
      </c>
    </row>
    <row r="50" spans="1:10" ht="16.5" customHeight="1">
      <c r="A50" s="28" t="s">
        <v>24</v>
      </c>
      <c r="B50" s="28" t="s">
        <v>15</v>
      </c>
      <c r="C50" s="28" t="s">
        <v>16</v>
      </c>
      <c r="D50" s="28" t="s">
        <v>295</v>
      </c>
      <c r="E50" s="28">
        <v>1000</v>
      </c>
      <c r="F50" s="28">
        <v>1100</v>
      </c>
      <c r="G50" s="33">
        <v>50025</v>
      </c>
    </row>
    <row r="51" spans="1:10" ht="16.5" customHeight="1">
      <c r="A51" s="28" t="s">
        <v>24</v>
      </c>
      <c r="B51" s="28" t="s">
        <v>15</v>
      </c>
      <c r="C51" s="28" t="s">
        <v>16</v>
      </c>
      <c r="D51" s="28" t="s">
        <v>295</v>
      </c>
      <c r="E51" s="28">
        <v>800</v>
      </c>
      <c r="F51" s="28">
        <v>900</v>
      </c>
      <c r="G51" s="33">
        <v>50026</v>
      </c>
    </row>
    <row r="52" spans="1:10" ht="16.5" customHeight="1">
      <c r="A52" s="28" t="s">
        <v>24</v>
      </c>
      <c r="B52" s="28" t="s">
        <v>15</v>
      </c>
      <c r="C52" s="28" t="s">
        <v>19</v>
      </c>
      <c r="D52" s="28" t="s">
        <v>296</v>
      </c>
      <c r="E52" s="28">
        <v>1200</v>
      </c>
      <c r="F52" s="28">
        <v>1900</v>
      </c>
      <c r="G52" s="33">
        <v>50027</v>
      </c>
    </row>
    <row r="53" spans="1:10" ht="16.5" customHeight="1">
      <c r="A53" s="28" t="s">
        <v>24</v>
      </c>
      <c r="B53" s="28" t="s">
        <v>15</v>
      </c>
      <c r="C53" s="28" t="s">
        <v>19</v>
      </c>
      <c r="D53" s="28" t="s">
        <v>296</v>
      </c>
      <c r="E53" s="28">
        <v>1400</v>
      </c>
      <c r="F53" s="28">
        <v>1900</v>
      </c>
      <c r="G53" s="33">
        <v>50028</v>
      </c>
    </row>
    <row r="54" spans="1:10" ht="16.5" customHeight="1">
      <c r="A54" s="28" t="s">
        <v>24</v>
      </c>
      <c r="B54" s="28" t="s">
        <v>15</v>
      </c>
      <c r="C54" s="28" t="s">
        <v>19</v>
      </c>
      <c r="D54" s="28" t="s">
        <v>295</v>
      </c>
      <c r="E54" s="28">
        <v>750</v>
      </c>
      <c r="F54" s="28">
        <v>1400</v>
      </c>
      <c r="G54" s="33">
        <v>50029</v>
      </c>
    </row>
    <row r="55" spans="1:10" ht="16.5" customHeight="1">
      <c r="A55" s="28" t="s">
        <v>24</v>
      </c>
      <c r="B55" s="28" t="s">
        <v>15</v>
      </c>
      <c r="C55" s="28" t="s">
        <v>19</v>
      </c>
      <c r="D55" s="28" t="s">
        <v>295</v>
      </c>
      <c r="E55" s="28">
        <v>800</v>
      </c>
      <c r="F55" s="28">
        <v>1400</v>
      </c>
      <c r="G55" s="33">
        <v>50030</v>
      </c>
    </row>
    <row r="56" spans="1:10" ht="16.5" customHeight="1">
      <c r="A56" s="28" t="s">
        <v>24</v>
      </c>
      <c r="B56" s="28" t="s">
        <v>15</v>
      </c>
      <c r="C56" s="28" t="s">
        <v>19</v>
      </c>
      <c r="D56" s="28" t="s">
        <v>295</v>
      </c>
      <c r="E56" s="28">
        <v>700</v>
      </c>
      <c r="F56" s="28">
        <v>1500</v>
      </c>
      <c r="G56" s="33">
        <v>50031</v>
      </c>
    </row>
    <row r="57" spans="1:10" ht="16.5" customHeight="1">
      <c r="A57" s="28" t="s">
        <v>24</v>
      </c>
      <c r="B57" s="28" t="s">
        <v>15</v>
      </c>
      <c r="C57" s="28" t="s">
        <v>19</v>
      </c>
      <c r="D57" s="28" t="s">
        <v>295</v>
      </c>
      <c r="E57" s="28">
        <v>800</v>
      </c>
      <c r="F57" s="28">
        <v>1500</v>
      </c>
      <c r="G57" s="33">
        <v>50032</v>
      </c>
    </row>
    <row r="58" spans="1:10" ht="16.5" customHeight="1">
      <c r="A58" s="28" t="s">
        <v>24</v>
      </c>
      <c r="B58" s="28" t="s">
        <v>15</v>
      </c>
      <c r="C58" s="28" t="s">
        <v>19</v>
      </c>
      <c r="D58" s="28" t="s">
        <v>295</v>
      </c>
      <c r="E58" s="28">
        <v>900</v>
      </c>
      <c r="F58" s="28">
        <v>1500</v>
      </c>
      <c r="G58" s="33">
        <v>50033</v>
      </c>
    </row>
    <row r="59" spans="1:10" ht="16.5" customHeight="1">
      <c r="A59" s="28" t="s">
        <v>24</v>
      </c>
      <c r="B59" s="28" t="s">
        <v>15</v>
      </c>
      <c r="C59" s="28" t="s">
        <v>19</v>
      </c>
      <c r="D59" s="28" t="s">
        <v>295</v>
      </c>
      <c r="E59" s="28">
        <v>800</v>
      </c>
      <c r="F59" s="28">
        <v>1600</v>
      </c>
      <c r="G59" s="33">
        <v>50034</v>
      </c>
    </row>
    <row r="60" spans="1:10" ht="16.5" customHeight="1">
      <c r="A60" s="28" t="s">
        <v>24</v>
      </c>
      <c r="B60" s="28" t="s">
        <v>15</v>
      </c>
      <c r="C60" s="28" t="s">
        <v>19</v>
      </c>
      <c r="D60" s="28" t="s">
        <v>295</v>
      </c>
      <c r="E60" s="28">
        <v>900</v>
      </c>
      <c r="F60" s="28">
        <v>1600</v>
      </c>
      <c r="G60" s="33">
        <v>50035</v>
      </c>
    </row>
    <row r="61" spans="1:10" ht="16.5" customHeight="1">
      <c r="A61" s="28" t="s">
        <v>14</v>
      </c>
      <c r="B61" s="28" t="s">
        <v>22</v>
      </c>
      <c r="C61" s="28" t="s">
        <v>16</v>
      </c>
      <c r="D61" s="28" t="s">
        <v>17</v>
      </c>
      <c r="E61" s="28">
        <v>1500</v>
      </c>
      <c r="F61" s="28">
        <v>2300</v>
      </c>
      <c r="G61" s="38">
        <v>111636</v>
      </c>
      <c r="I61" s="37"/>
      <c r="J61" s="37"/>
    </row>
    <row r="62" spans="1:10" ht="16.5" customHeight="1">
      <c r="A62" s="28" t="s">
        <v>14</v>
      </c>
      <c r="B62" s="28" t="s">
        <v>22</v>
      </c>
      <c r="C62" s="28" t="s">
        <v>16</v>
      </c>
      <c r="D62" s="28" t="s">
        <v>17</v>
      </c>
      <c r="E62" s="28">
        <v>1500</v>
      </c>
      <c r="F62" s="28">
        <v>2400</v>
      </c>
      <c r="G62" s="38">
        <v>114255</v>
      </c>
      <c r="I62" s="37"/>
      <c r="J62" s="37"/>
    </row>
    <row r="63" spans="1:10" ht="16.5" customHeight="1">
      <c r="A63" s="28" t="s">
        <v>14</v>
      </c>
      <c r="B63" s="28" t="s">
        <v>22</v>
      </c>
      <c r="C63" s="28" t="s">
        <v>19</v>
      </c>
      <c r="D63" s="28" t="s">
        <v>17</v>
      </c>
      <c r="E63" s="28">
        <v>1600</v>
      </c>
      <c r="F63" s="28">
        <v>2400</v>
      </c>
      <c r="G63" s="38">
        <v>214100</v>
      </c>
      <c r="I63" s="37"/>
      <c r="J63" s="37"/>
    </row>
    <row r="64" spans="1:10" ht="16.5" customHeight="1">
      <c r="A64" s="28" t="s">
        <v>14</v>
      </c>
      <c r="B64" s="28" t="s">
        <v>22</v>
      </c>
      <c r="C64" s="28" t="s">
        <v>19</v>
      </c>
      <c r="D64" s="28" t="s">
        <v>23</v>
      </c>
      <c r="E64" s="28">
        <v>1600</v>
      </c>
      <c r="F64" s="28">
        <v>2400</v>
      </c>
      <c r="G64" s="38">
        <v>214100</v>
      </c>
      <c r="I64" s="37"/>
      <c r="J64" s="37"/>
    </row>
    <row r="65" spans="1:7" ht="16.5" customHeight="1">
      <c r="A65" s="28" t="s">
        <v>14</v>
      </c>
      <c r="B65" s="28" t="s">
        <v>25</v>
      </c>
      <c r="C65" s="28" t="s">
        <v>16</v>
      </c>
      <c r="D65" s="28" t="s">
        <v>17</v>
      </c>
      <c r="E65" s="28">
        <v>1400</v>
      </c>
      <c r="F65" s="28">
        <v>2100</v>
      </c>
      <c r="G65" s="38">
        <v>77613</v>
      </c>
    </row>
    <row r="66" spans="1:7" ht="16.5" customHeight="1">
      <c r="A66" s="28" t="s">
        <v>14</v>
      </c>
      <c r="B66" s="28" t="s">
        <v>25</v>
      </c>
      <c r="C66" s="28" t="s">
        <v>16</v>
      </c>
      <c r="D66" s="28" t="s">
        <v>17</v>
      </c>
      <c r="E66" s="28">
        <v>1400</v>
      </c>
      <c r="F66" s="28">
        <v>2200</v>
      </c>
      <c r="G66" s="38">
        <v>78661</v>
      </c>
    </row>
    <row r="67" spans="1:7" ht="16.5" customHeight="1">
      <c r="A67" s="28" t="s">
        <v>14</v>
      </c>
      <c r="B67" s="28" t="s">
        <v>25</v>
      </c>
      <c r="C67" s="28" t="s">
        <v>16</v>
      </c>
      <c r="D67" s="28" t="s">
        <v>17</v>
      </c>
      <c r="E67" s="28">
        <v>1500</v>
      </c>
      <c r="F67" s="28">
        <v>2100</v>
      </c>
      <c r="G67" s="38">
        <v>79813</v>
      </c>
    </row>
    <row r="68" spans="1:7" ht="16.5" customHeight="1">
      <c r="A68" s="28" t="s">
        <v>14</v>
      </c>
      <c r="B68" s="28" t="s">
        <v>25</v>
      </c>
      <c r="C68" s="28" t="s">
        <v>16</v>
      </c>
      <c r="D68" s="28" t="s">
        <v>17</v>
      </c>
      <c r="E68" s="28">
        <v>1500</v>
      </c>
      <c r="F68" s="28">
        <v>2200</v>
      </c>
      <c r="G68" s="38">
        <v>80860</v>
      </c>
    </row>
    <row r="69" spans="1:7" ht="16.5" customHeight="1">
      <c r="A69" s="28" t="s">
        <v>14</v>
      </c>
      <c r="B69" s="28" t="s">
        <v>25</v>
      </c>
      <c r="C69" s="28" t="s">
        <v>23</v>
      </c>
      <c r="D69" s="28" t="s">
        <v>23</v>
      </c>
      <c r="E69" s="28">
        <v>1500</v>
      </c>
      <c r="F69" s="28">
        <v>2000</v>
      </c>
      <c r="G69" s="38">
        <v>81839</v>
      </c>
    </row>
    <row r="70" spans="1:7" ht="16.5" customHeight="1">
      <c r="A70" s="28" t="s">
        <v>14</v>
      </c>
      <c r="B70" s="28" t="s">
        <v>26</v>
      </c>
      <c r="C70" s="28" t="s">
        <v>19</v>
      </c>
      <c r="D70" s="28" t="s">
        <v>17</v>
      </c>
      <c r="E70" s="28">
        <v>1200</v>
      </c>
      <c r="F70" s="28">
        <v>1400</v>
      </c>
      <c r="G70" s="38">
        <v>75324</v>
      </c>
    </row>
    <row r="71" spans="1:7" ht="16.5" customHeight="1">
      <c r="A71" s="28" t="s">
        <v>14</v>
      </c>
      <c r="B71" s="28" t="s">
        <v>26</v>
      </c>
      <c r="C71" s="28" t="s">
        <v>19</v>
      </c>
      <c r="D71" s="28" t="s">
        <v>17</v>
      </c>
      <c r="E71" s="28">
        <v>1300</v>
      </c>
      <c r="F71" s="28">
        <v>1500</v>
      </c>
      <c r="G71" s="38">
        <v>79865</v>
      </c>
    </row>
    <row r="72" spans="1:7" ht="16.5" customHeight="1">
      <c r="A72" s="28" t="s">
        <v>14</v>
      </c>
      <c r="B72" s="28" t="s">
        <v>26</v>
      </c>
      <c r="C72" s="28" t="s">
        <v>19</v>
      </c>
      <c r="D72" s="28" t="s">
        <v>17</v>
      </c>
      <c r="E72" s="28">
        <v>1400</v>
      </c>
      <c r="F72" s="28">
        <v>1800</v>
      </c>
      <c r="G72" s="38">
        <v>94785</v>
      </c>
    </row>
    <row r="73" spans="1:7" ht="16.5" customHeight="1">
      <c r="A73" s="28" t="s">
        <v>14</v>
      </c>
      <c r="B73" s="28" t="s">
        <v>26</v>
      </c>
      <c r="C73" s="28" t="s">
        <v>19</v>
      </c>
      <c r="D73" s="28" t="s">
        <v>23</v>
      </c>
      <c r="E73" s="28">
        <v>1300</v>
      </c>
      <c r="F73" s="28">
        <v>1900</v>
      </c>
      <c r="G73" s="38">
        <v>91562</v>
      </c>
    </row>
    <row r="74" spans="1:7" ht="16.5" customHeight="1">
      <c r="A74" s="28" t="s">
        <v>14</v>
      </c>
      <c r="B74" s="28" t="s">
        <v>26</v>
      </c>
      <c r="C74" s="28" t="s">
        <v>19</v>
      </c>
      <c r="D74" s="28" t="s">
        <v>23</v>
      </c>
      <c r="E74" s="28">
        <v>1500</v>
      </c>
      <c r="F74" s="28">
        <v>1900</v>
      </c>
      <c r="G74" s="38">
        <v>98698</v>
      </c>
    </row>
    <row r="75" spans="1:7" ht="16.5" customHeight="1">
      <c r="A75" s="28" t="s">
        <v>14</v>
      </c>
      <c r="B75" s="28" t="s">
        <v>292</v>
      </c>
      <c r="C75" s="28" t="s">
        <v>19</v>
      </c>
      <c r="D75" s="28" t="s">
        <v>23</v>
      </c>
      <c r="E75" s="28">
        <v>19000</v>
      </c>
      <c r="F75" s="28">
        <v>1900</v>
      </c>
      <c r="G75" s="38">
        <v>98698</v>
      </c>
    </row>
    <row r="76" spans="1:7" ht="16.5" customHeight="1"/>
    <row r="77" spans="1:7" ht="16.5" customHeight="1"/>
    <row r="78" spans="1:7" ht="16.5" customHeight="1"/>
    <row r="79" spans="1:7" ht="16.5" customHeight="1"/>
    <row r="80" spans="1:7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</sheetData>
  <phoneticPr fontId="6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1000"/>
  <sheetViews>
    <sheetView workbookViewId="0">
      <selection activeCell="I18" sqref="I18"/>
    </sheetView>
  </sheetViews>
  <sheetFormatPr defaultColWidth="12.54296875" defaultRowHeight="15" customHeight="1"/>
  <cols>
    <col min="1" max="1" width="16.1796875" style="28" customWidth="1"/>
    <col min="2" max="4" width="10.6328125" style="28" customWidth="1"/>
    <col min="5" max="5" width="12.54296875" style="39" customWidth="1"/>
    <col min="6" max="26" width="7.54296875" style="14" customWidth="1"/>
    <col min="27" max="16384" width="12.54296875" style="14"/>
  </cols>
  <sheetData>
    <row r="1" spans="1:5" ht="16.5" customHeight="1">
      <c r="A1" s="28" t="s">
        <v>32</v>
      </c>
      <c r="B1" s="28" t="s">
        <v>33</v>
      </c>
      <c r="C1" s="28" t="s">
        <v>34</v>
      </c>
      <c r="D1" s="28" t="s">
        <v>29</v>
      </c>
      <c r="E1" s="39" t="s">
        <v>13</v>
      </c>
    </row>
    <row r="2" spans="1:5" ht="16.5" customHeight="1">
      <c r="A2" s="28" t="s">
        <v>35</v>
      </c>
      <c r="B2" s="40" t="s">
        <v>36</v>
      </c>
      <c r="C2" s="28">
        <v>2000</v>
      </c>
      <c r="D2" s="28">
        <v>1300</v>
      </c>
      <c r="E2" s="39">
        <f>ROUND(24876.5284210526,0)</f>
        <v>24877</v>
      </c>
    </row>
    <row r="3" spans="1:5" ht="16.5" customHeight="1">
      <c r="A3" s="28" t="s">
        <v>35</v>
      </c>
      <c r="B3" s="40" t="s">
        <v>37</v>
      </c>
      <c r="C3" s="28">
        <v>1750</v>
      </c>
      <c r="D3" s="28">
        <v>1300</v>
      </c>
      <c r="E3" s="39">
        <f>ROUND(19466.644754386,0)</f>
        <v>19467</v>
      </c>
    </row>
    <row r="4" spans="1:5" ht="16.5" customHeight="1">
      <c r="A4" s="28" t="s">
        <v>35</v>
      </c>
      <c r="B4" s="40" t="s">
        <v>38</v>
      </c>
      <c r="C4" s="28">
        <v>1750</v>
      </c>
      <c r="D4" s="28">
        <v>1350</v>
      </c>
      <c r="E4" s="39">
        <f>ROUND(20465.029754386,0)</f>
        <v>20465</v>
      </c>
    </row>
    <row r="5" spans="1:5" ht="16.5" customHeight="1">
      <c r="A5" s="28" t="s">
        <v>35</v>
      </c>
      <c r="B5" s="40" t="s">
        <v>39</v>
      </c>
      <c r="C5" s="28">
        <v>1750</v>
      </c>
      <c r="D5" s="28">
        <v>1350</v>
      </c>
      <c r="E5" s="39">
        <f>ROUND(22778.035754386,0)</f>
        <v>22778</v>
      </c>
    </row>
    <row r="6" spans="1:5" ht="16.5" customHeight="1">
      <c r="A6" s="28" t="s">
        <v>35</v>
      </c>
      <c r="B6" s="40" t="s">
        <v>40</v>
      </c>
      <c r="C6" s="28">
        <v>1750</v>
      </c>
      <c r="D6" s="28">
        <v>1450</v>
      </c>
      <c r="E6" s="39">
        <f>ROUND(22090.7790877193,0)</f>
        <v>22091</v>
      </c>
    </row>
    <row r="7" spans="1:5" ht="16.5" customHeight="1">
      <c r="A7" s="28" t="s">
        <v>35</v>
      </c>
      <c r="B7" s="40" t="s">
        <v>41</v>
      </c>
      <c r="C7" s="28">
        <v>1750</v>
      </c>
      <c r="D7" s="28">
        <v>1000</v>
      </c>
      <c r="E7" s="39">
        <f>ROUND(22305.1613333333,0)</f>
        <v>22305</v>
      </c>
    </row>
    <row r="8" spans="1:5" ht="16.5" customHeight="1">
      <c r="A8" s="28" t="s">
        <v>35</v>
      </c>
      <c r="B8" s="40" t="s">
        <v>42</v>
      </c>
      <c r="C8" s="28">
        <v>1750</v>
      </c>
      <c r="D8" s="28">
        <v>1200</v>
      </c>
      <c r="E8" s="39">
        <f>ROUND(25853.7433333333,0)</f>
        <v>25854</v>
      </c>
    </row>
    <row r="9" spans="1:5" ht="16.5" customHeight="1">
      <c r="A9" s="28" t="s">
        <v>35</v>
      </c>
      <c r="B9" s="40" t="s">
        <v>43</v>
      </c>
      <c r="C9" s="28">
        <v>2000</v>
      </c>
      <c r="D9" s="28">
        <v>1200</v>
      </c>
      <c r="E9" s="39">
        <f>ROUND(31177.068,0)</f>
        <v>31177</v>
      </c>
    </row>
    <row r="10" spans="1:5" ht="16.5" customHeight="1">
      <c r="A10" s="28" t="s">
        <v>35</v>
      </c>
      <c r="B10" s="40" t="s">
        <v>44</v>
      </c>
      <c r="C10" s="28">
        <v>1850</v>
      </c>
      <c r="D10" s="28">
        <v>1370</v>
      </c>
      <c r="E10" s="39">
        <f>ROUND(22090.7790877193,0)</f>
        <v>22091</v>
      </c>
    </row>
    <row r="11" spans="1:5" ht="16.5" customHeight="1">
      <c r="A11" s="28" t="s">
        <v>35</v>
      </c>
      <c r="B11" s="40" t="s">
        <v>45</v>
      </c>
      <c r="C11" s="28">
        <v>1850</v>
      </c>
      <c r="D11" s="28">
        <v>1260</v>
      </c>
      <c r="E11" s="39">
        <f>ROUND(21026.4810877193,0)</f>
        <v>21026</v>
      </c>
    </row>
    <row r="12" spans="1:5" ht="16.5" customHeight="1">
      <c r="A12" s="28" t="s">
        <v>46</v>
      </c>
      <c r="B12" s="40">
        <v>700</v>
      </c>
      <c r="C12" s="28">
        <v>1750</v>
      </c>
      <c r="D12" s="28">
        <v>700</v>
      </c>
      <c r="E12" s="39">
        <f>ROUND(14109.9616666667,0)</f>
        <v>14110</v>
      </c>
    </row>
    <row r="13" spans="1:5" ht="16.5" customHeight="1">
      <c r="A13" s="28" t="s">
        <v>46</v>
      </c>
      <c r="B13" s="40">
        <v>800</v>
      </c>
      <c r="C13" s="28">
        <v>1750</v>
      </c>
      <c r="D13" s="28">
        <v>800</v>
      </c>
      <c r="E13" s="39">
        <f>ROUND(15953.6971111111,0)</f>
        <v>15954</v>
      </c>
    </row>
    <row r="14" spans="1:5" ht="16.5" customHeight="1">
      <c r="A14" s="28" t="s">
        <v>46</v>
      </c>
      <c r="B14" s="28" t="s">
        <v>47</v>
      </c>
      <c r="C14" s="28">
        <v>1750</v>
      </c>
      <c r="D14" s="28">
        <v>900</v>
      </c>
      <c r="E14" s="39">
        <f>ROUND(18683.766,0)</f>
        <v>18684</v>
      </c>
    </row>
    <row r="15" spans="1:5" ht="16.5" customHeight="1">
      <c r="A15" s="28" t="s">
        <v>46</v>
      </c>
      <c r="B15" s="28" t="s">
        <v>48</v>
      </c>
      <c r="C15" s="28">
        <v>960</v>
      </c>
      <c r="D15" s="28">
        <v>900</v>
      </c>
      <c r="E15" s="39">
        <f>ROUND(10785.7126666667,0)</f>
        <v>10786</v>
      </c>
    </row>
    <row r="16" spans="1:5" ht="16.5" customHeight="1">
      <c r="A16" s="28" t="s">
        <v>46</v>
      </c>
      <c r="B16" s="40">
        <v>1000</v>
      </c>
      <c r="C16" s="28">
        <v>1750</v>
      </c>
      <c r="D16" s="28">
        <v>1000</v>
      </c>
      <c r="E16" s="39">
        <f>ROUND(19905.1613333333,0)</f>
        <v>19905</v>
      </c>
    </row>
    <row r="17" spans="1:5" ht="16.5" customHeight="1">
      <c r="A17" s="28" t="s">
        <v>46</v>
      </c>
      <c r="B17" s="40">
        <v>1200</v>
      </c>
      <c r="C17" s="28">
        <v>1750</v>
      </c>
      <c r="D17" s="28">
        <v>1200</v>
      </c>
      <c r="E17" s="39">
        <f>ROUND(23453.7433333333,0)</f>
        <v>23454</v>
      </c>
    </row>
    <row r="18" spans="1:5" ht="16.5" customHeight="1">
      <c r="A18" s="28" t="s">
        <v>46</v>
      </c>
      <c r="B18" s="40">
        <v>2000</v>
      </c>
      <c r="C18" s="28">
        <v>2000</v>
      </c>
      <c r="D18" s="28">
        <v>1200</v>
      </c>
      <c r="E18" s="39">
        <f>ROUND(28777.068,0)</f>
        <v>28777</v>
      </c>
    </row>
    <row r="19" spans="1:5" ht="16.5" customHeight="1">
      <c r="A19" s="28" t="s">
        <v>46</v>
      </c>
      <c r="B19" s="40">
        <v>750</v>
      </c>
      <c r="C19" s="28">
        <v>1850</v>
      </c>
      <c r="D19" s="28">
        <v>750</v>
      </c>
      <c r="E19" s="39">
        <f>ROUND(14527.649,0)</f>
        <v>14528</v>
      </c>
    </row>
    <row r="20" spans="1:5" ht="16.5" customHeight="1">
      <c r="A20" s="28" t="s">
        <v>46</v>
      </c>
      <c r="B20" s="40">
        <v>1100</v>
      </c>
      <c r="C20" s="28">
        <v>1850</v>
      </c>
      <c r="D20" s="28">
        <v>1100</v>
      </c>
      <c r="E20" s="39">
        <f>ROUND(20189.7306666667,0)</f>
        <v>20190</v>
      </c>
    </row>
    <row r="21" spans="1:5" ht="16.5" customHeight="1">
      <c r="A21" s="28" t="s">
        <v>49</v>
      </c>
      <c r="B21" s="40" t="s">
        <v>36</v>
      </c>
      <c r="C21" s="28">
        <v>900</v>
      </c>
      <c r="D21" s="28">
        <v>700</v>
      </c>
      <c r="E21" s="39">
        <f t="shared" ref="E21:E23" si="0">ROUND(8585.984,0)</f>
        <v>8586</v>
      </c>
    </row>
    <row r="22" spans="1:5" ht="16.5" customHeight="1">
      <c r="A22" s="28" t="s">
        <v>49</v>
      </c>
      <c r="B22" s="40" t="s">
        <v>37</v>
      </c>
      <c r="C22" s="28">
        <v>900</v>
      </c>
      <c r="D22" s="28">
        <v>700</v>
      </c>
      <c r="E22" s="39">
        <f t="shared" si="0"/>
        <v>8586</v>
      </c>
    </row>
    <row r="23" spans="1:5" ht="16.5" customHeight="1">
      <c r="A23" s="28" t="s">
        <v>49</v>
      </c>
      <c r="B23" s="40" t="s">
        <v>38</v>
      </c>
      <c r="C23" s="28">
        <v>900</v>
      </c>
      <c r="D23" s="28">
        <v>700</v>
      </c>
      <c r="E23" s="39">
        <f t="shared" si="0"/>
        <v>8586</v>
      </c>
    </row>
    <row r="24" spans="1:5" ht="16.5" customHeight="1">
      <c r="A24" s="28" t="s">
        <v>49</v>
      </c>
      <c r="B24" s="40" t="s">
        <v>39</v>
      </c>
      <c r="C24" s="28">
        <v>650</v>
      </c>
      <c r="D24" s="28">
        <v>500</v>
      </c>
      <c r="E24" s="39">
        <f>ROUND(6296.838,0)</f>
        <v>6297</v>
      </c>
    </row>
    <row r="25" spans="1:5" ht="16.5" customHeight="1">
      <c r="A25" s="28" t="s">
        <v>49</v>
      </c>
      <c r="B25" s="40" t="s">
        <v>40</v>
      </c>
      <c r="C25" s="28">
        <v>900</v>
      </c>
      <c r="D25" s="28">
        <v>700</v>
      </c>
      <c r="E25" s="39">
        <f>ROUND(8585.984,0)</f>
        <v>8586</v>
      </c>
    </row>
    <row r="26" spans="1:5" ht="16.5" customHeight="1">
      <c r="A26" s="28" t="s">
        <v>49</v>
      </c>
      <c r="B26" s="40" t="s">
        <v>41</v>
      </c>
      <c r="C26" s="28">
        <v>450</v>
      </c>
      <c r="D26" s="28">
        <v>450</v>
      </c>
      <c r="E26" s="39">
        <f t="shared" ref="E26:E28" si="1">ROUND(4728.38884210526,0)</f>
        <v>4728</v>
      </c>
    </row>
    <row r="27" spans="1:5" ht="16.5" customHeight="1">
      <c r="A27" s="28" t="s">
        <v>49</v>
      </c>
      <c r="B27" s="40" t="s">
        <v>42</v>
      </c>
      <c r="C27" s="28">
        <v>450</v>
      </c>
      <c r="D27" s="28">
        <v>450</v>
      </c>
      <c r="E27" s="39">
        <f t="shared" si="1"/>
        <v>4728</v>
      </c>
    </row>
    <row r="28" spans="1:5" ht="16.5" customHeight="1">
      <c r="A28" s="28" t="s">
        <v>49</v>
      </c>
      <c r="B28" s="40" t="s">
        <v>43</v>
      </c>
      <c r="C28" s="28">
        <v>450</v>
      </c>
      <c r="D28" s="28">
        <v>450</v>
      </c>
      <c r="E28" s="39">
        <f t="shared" si="1"/>
        <v>4728</v>
      </c>
    </row>
    <row r="29" spans="1:5" ht="16.5" customHeight="1">
      <c r="A29" s="28" t="s">
        <v>49</v>
      </c>
      <c r="B29" s="40" t="s">
        <v>44</v>
      </c>
      <c r="C29" s="28">
        <v>900</v>
      </c>
      <c r="D29" s="28">
        <v>650</v>
      </c>
      <c r="E29" s="39">
        <f>ROUND(8174.96333333333,0)</f>
        <v>8175</v>
      </c>
    </row>
    <row r="30" spans="1:5" ht="16.5" customHeight="1">
      <c r="A30" s="28" t="s">
        <v>49</v>
      </c>
      <c r="B30" s="40" t="s">
        <v>45</v>
      </c>
      <c r="C30" s="28">
        <v>900</v>
      </c>
      <c r="D30" s="28">
        <v>750</v>
      </c>
      <c r="E30" s="39">
        <f>ROUND(8184.748,0)</f>
        <v>8185</v>
      </c>
    </row>
    <row r="31" spans="1:5" ht="16.5" customHeight="1"/>
    <row r="32" spans="1:5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6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8F6D-BD32-44A1-8126-6DEDF29E4574}">
  <sheetPr codeName="Sheet4"/>
  <dimension ref="A1:E10"/>
  <sheetViews>
    <sheetView workbookViewId="0">
      <selection activeCell="B16" sqref="B16"/>
    </sheetView>
  </sheetViews>
  <sheetFormatPr defaultColWidth="9.26953125" defaultRowHeight="17"/>
  <cols>
    <col min="1" max="1" width="19.453125" style="28" customWidth="1"/>
    <col min="2" max="2" width="13.1796875" style="39" customWidth="1"/>
    <col min="3" max="3" width="32.1796875" style="28" customWidth="1"/>
    <col min="4" max="5" width="19.453125" style="28" customWidth="1"/>
    <col min="6" max="16384" width="9.26953125" style="14"/>
  </cols>
  <sheetData>
    <row r="1" spans="1:3">
      <c r="A1" s="28" t="s">
        <v>132</v>
      </c>
      <c r="B1" s="39" t="s">
        <v>30</v>
      </c>
      <c r="C1" s="28" t="s">
        <v>133</v>
      </c>
    </row>
    <row r="2" spans="1:3">
      <c r="A2" s="41" t="s">
        <v>289</v>
      </c>
      <c r="B2" s="39">
        <v>1500</v>
      </c>
      <c r="C2" s="28" t="s">
        <v>297</v>
      </c>
    </row>
    <row r="3" spans="1:3">
      <c r="A3" s="41" t="s">
        <v>290</v>
      </c>
      <c r="B3" s="39">
        <v>1500</v>
      </c>
      <c r="C3" s="28" t="s">
        <v>298</v>
      </c>
    </row>
    <row r="4" spans="1:3">
      <c r="A4" s="41" t="s">
        <v>134</v>
      </c>
      <c r="B4" s="39">
        <v>4000</v>
      </c>
      <c r="C4" s="28" t="s">
        <v>135</v>
      </c>
    </row>
    <row r="5" spans="1:3">
      <c r="A5" s="41" t="s">
        <v>136</v>
      </c>
      <c r="B5" s="39">
        <v>4000</v>
      </c>
      <c r="C5" s="28" t="s">
        <v>135</v>
      </c>
    </row>
    <row r="6" spans="1:3">
      <c r="A6" s="41" t="s">
        <v>137</v>
      </c>
      <c r="B6" s="39">
        <v>2000</v>
      </c>
      <c r="C6" s="28" t="s">
        <v>138</v>
      </c>
    </row>
    <row r="7" spans="1:3">
      <c r="A7" s="41" t="s">
        <v>139</v>
      </c>
      <c r="B7" s="39">
        <v>1500</v>
      </c>
      <c r="C7" s="28" t="s">
        <v>140</v>
      </c>
    </row>
    <row r="8" spans="1:3">
      <c r="A8" s="41"/>
    </row>
    <row r="9" spans="1:3">
      <c r="A9" s="41"/>
    </row>
    <row r="10" spans="1:3">
      <c r="A10" s="41"/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7062-5A63-4BDE-AEB9-2C2A671D2D0E}">
  <sheetPr codeName="Sheet5"/>
  <dimension ref="A1:E154"/>
  <sheetViews>
    <sheetView tabSelected="1" topLeftCell="A54" workbookViewId="0">
      <selection activeCell="C61" sqref="C61"/>
    </sheetView>
  </sheetViews>
  <sheetFormatPr defaultColWidth="9.26953125" defaultRowHeight="14"/>
  <cols>
    <col min="1" max="1" width="20.26953125" style="43" customWidth="1"/>
    <col min="2" max="2" width="33.90625" style="43" customWidth="1"/>
    <col min="3" max="3" width="45.90625" style="43" customWidth="1"/>
    <col min="4" max="4" width="11.54296875" style="42" customWidth="1"/>
    <col min="5" max="5" width="9.26953125" style="42"/>
    <col min="6" max="16384" width="9.26953125" style="43"/>
  </cols>
  <sheetData>
    <row r="1" spans="1:5" ht="26.65" customHeight="1">
      <c r="A1" s="42" t="s">
        <v>132</v>
      </c>
      <c r="B1" s="42" t="s">
        <v>141</v>
      </c>
      <c r="C1" s="42" t="s">
        <v>142</v>
      </c>
      <c r="D1" s="42" t="s">
        <v>30</v>
      </c>
      <c r="E1" s="42" t="s">
        <v>143</v>
      </c>
    </row>
    <row r="2" spans="1:5" ht="19.899999999999999" customHeight="1">
      <c r="A2" s="44" t="s">
        <v>144</v>
      </c>
      <c r="B2" s="44" t="s">
        <v>145</v>
      </c>
      <c r="C2" s="44" t="s">
        <v>146</v>
      </c>
      <c r="D2" s="45">
        <v>1500</v>
      </c>
      <c r="E2" s="45">
        <v>2</v>
      </c>
    </row>
    <row r="3" spans="1:5" ht="19.899999999999999" customHeight="1">
      <c r="A3" s="44" t="s">
        <v>144</v>
      </c>
      <c r="B3" s="44" t="s">
        <v>145</v>
      </c>
      <c r="C3" s="44" t="s">
        <v>147</v>
      </c>
      <c r="D3" s="45">
        <v>2000</v>
      </c>
      <c r="E3" s="45">
        <v>2</v>
      </c>
    </row>
    <row r="4" spans="1:5" ht="19.899999999999999" customHeight="1">
      <c r="A4" s="44" t="s">
        <v>144</v>
      </c>
      <c r="B4" s="44" t="s">
        <v>145</v>
      </c>
      <c r="C4" s="44" t="s">
        <v>148</v>
      </c>
      <c r="D4" s="45">
        <v>3150</v>
      </c>
      <c r="E4" s="45">
        <v>1</v>
      </c>
    </row>
    <row r="5" spans="1:5" ht="19.899999999999999" customHeight="1">
      <c r="A5" s="44" t="s">
        <v>144</v>
      </c>
      <c r="B5" s="44" t="s">
        <v>145</v>
      </c>
      <c r="C5" s="44" t="s">
        <v>149</v>
      </c>
      <c r="D5" s="45">
        <v>500</v>
      </c>
      <c r="E5" s="45">
        <v>1</v>
      </c>
    </row>
    <row r="6" spans="1:5" ht="19.899999999999999" customHeight="1">
      <c r="A6" s="44" t="s">
        <v>144</v>
      </c>
      <c r="B6" s="44" t="s">
        <v>145</v>
      </c>
      <c r="C6" s="44" t="s">
        <v>150</v>
      </c>
      <c r="D6" s="45">
        <v>1000</v>
      </c>
      <c r="E6" s="45">
        <v>1</v>
      </c>
    </row>
    <row r="7" spans="1:5" ht="19.899999999999999" customHeight="1">
      <c r="A7" s="44" t="s">
        <v>144</v>
      </c>
      <c r="B7" s="44" t="s">
        <v>368</v>
      </c>
      <c r="C7" s="44" t="s">
        <v>151</v>
      </c>
      <c r="D7" s="45">
        <v>4000</v>
      </c>
      <c r="E7" s="45">
        <v>2</v>
      </c>
    </row>
    <row r="8" spans="1:5" ht="19.899999999999999" customHeight="1">
      <c r="A8" s="44" t="s">
        <v>144</v>
      </c>
      <c r="B8" s="44" t="s">
        <v>373</v>
      </c>
      <c r="C8" s="44" t="s">
        <v>374</v>
      </c>
      <c r="D8" s="45">
        <v>6500</v>
      </c>
      <c r="E8" s="45">
        <v>2</v>
      </c>
    </row>
    <row r="9" spans="1:5" ht="19.899999999999999" customHeight="1">
      <c r="A9" s="44" t="s">
        <v>144</v>
      </c>
      <c r="B9" s="44" t="s">
        <v>368</v>
      </c>
      <c r="C9" s="44" t="s">
        <v>152</v>
      </c>
      <c r="D9" s="45">
        <v>6500</v>
      </c>
      <c r="E9" s="45">
        <v>1</v>
      </c>
    </row>
    <row r="10" spans="1:5" ht="19.899999999999999" customHeight="1">
      <c r="A10" s="44" t="s">
        <v>144</v>
      </c>
      <c r="B10" s="44" t="s">
        <v>368</v>
      </c>
      <c r="C10" s="44" t="s">
        <v>153</v>
      </c>
      <c r="D10" s="45">
        <v>6500</v>
      </c>
      <c r="E10" s="45">
        <v>1</v>
      </c>
    </row>
    <row r="11" spans="1:5" ht="19.899999999999999" customHeight="1">
      <c r="A11" s="44" t="s">
        <v>144</v>
      </c>
      <c r="B11" s="44" t="s">
        <v>368</v>
      </c>
      <c r="C11" s="44" t="s">
        <v>154</v>
      </c>
      <c r="D11" s="45">
        <v>6500</v>
      </c>
      <c r="E11" s="45">
        <v>1</v>
      </c>
    </row>
    <row r="12" spans="1:5" ht="19.899999999999999" customHeight="1">
      <c r="A12" s="44" t="s">
        <v>144</v>
      </c>
      <c r="B12" s="44" t="s">
        <v>369</v>
      </c>
      <c r="C12" s="44" t="s">
        <v>316</v>
      </c>
      <c r="D12" s="45">
        <v>3950</v>
      </c>
      <c r="E12" s="45">
        <v>1</v>
      </c>
    </row>
    <row r="13" spans="1:5" ht="19.899999999999999" customHeight="1">
      <c r="A13" s="44" t="s">
        <v>144</v>
      </c>
      <c r="B13" s="44" t="s">
        <v>369</v>
      </c>
      <c r="C13" s="44" t="s">
        <v>317</v>
      </c>
      <c r="D13" s="45">
        <v>4600</v>
      </c>
      <c r="E13" s="45">
        <v>1</v>
      </c>
    </row>
    <row r="14" spans="1:5" ht="19.899999999999999" customHeight="1">
      <c r="A14" s="44" t="s">
        <v>144</v>
      </c>
      <c r="B14" s="44" t="s">
        <v>367</v>
      </c>
      <c r="C14" s="44" t="s">
        <v>316</v>
      </c>
      <c r="D14" s="45">
        <v>3950</v>
      </c>
      <c r="E14" s="45">
        <v>1</v>
      </c>
    </row>
    <row r="15" spans="1:5" ht="19.899999999999999" customHeight="1">
      <c r="A15" s="44" t="s">
        <v>144</v>
      </c>
      <c r="B15" s="44" t="s">
        <v>367</v>
      </c>
      <c r="C15" s="44" t="s">
        <v>317</v>
      </c>
      <c r="D15" s="45">
        <v>4000</v>
      </c>
      <c r="E15" s="45">
        <v>1</v>
      </c>
    </row>
    <row r="16" spans="1:5" ht="19.899999999999999" customHeight="1">
      <c r="A16" s="44" t="s">
        <v>144</v>
      </c>
      <c r="B16" s="44" t="s">
        <v>369</v>
      </c>
      <c r="C16" s="44" t="s">
        <v>363</v>
      </c>
      <c r="D16" s="45">
        <v>4200</v>
      </c>
      <c r="E16" s="45">
        <v>1</v>
      </c>
    </row>
    <row r="17" spans="1:5" ht="19.899999999999999" customHeight="1">
      <c r="A17" s="44" t="s">
        <v>144</v>
      </c>
      <c r="B17" s="44" t="s">
        <v>369</v>
      </c>
      <c r="C17" s="44" t="s">
        <v>364</v>
      </c>
      <c r="D17" s="45">
        <v>4000</v>
      </c>
      <c r="E17" s="45">
        <v>1</v>
      </c>
    </row>
    <row r="18" spans="1:5" ht="19.899999999999999" customHeight="1">
      <c r="A18" s="44" t="s">
        <v>144</v>
      </c>
      <c r="B18" s="44" t="s">
        <v>369</v>
      </c>
      <c r="C18" s="44" t="s">
        <v>365</v>
      </c>
      <c r="D18" s="45">
        <v>4900</v>
      </c>
      <c r="E18" s="45">
        <v>1</v>
      </c>
    </row>
    <row r="19" spans="1:5" ht="19.899999999999999" customHeight="1">
      <c r="A19" s="44" t="s">
        <v>144</v>
      </c>
      <c r="B19" s="44" t="s">
        <v>369</v>
      </c>
      <c r="C19" s="44" t="s">
        <v>366</v>
      </c>
      <c r="D19" s="45">
        <v>4600</v>
      </c>
      <c r="E19" s="45">
        <v>1</v>
      </c>
    </row>
    <row r="20" spans="1:5" ht="19.899999999999999" customHeight="1">
      <c r="A20" s="44" t="s">
        <v>144</v>
      </c>
      <c r="B20" s="44" t="s">
        <v>368</v>
      </c>
      <c r="C20" s="44" t="s">
        <v>155</v>
      </c>
      <c r="D20" s="45">
        <v>35000</v>
      </c>
      <c r="E20" s="45">
        <v>1</v>
      </c>
    </row>
    <row r="21" spans="1:5" ht="19.899999999999999" customHeight="1">
      <c r="A21" s="44" t="s">
        <v>144</v>
      </c>
      <c r="B21" s="44" t="s">
        <v>368</v>
      </c>
      <c r="C21" s="44" t="s">
        <v>156</v>
      </c>
      <c r="D21" s="45">
        <v>15000</v>
      </c>
      <c r="E21" s="45">
        <v>1</v>
      </c>
    </row>
    <row r="22" spans="1:5" ht="19.899999999999999" customHeight="1">
      <c r="A22" s="44" t="s">
        <v>144</v>
      </c>
      <c r="B22" s="44" t="s">
        <v>368</v>
      </c>
      <c r="C22" s="44" t="s">
        <v>362</v>
      </c>
      <c r="D22" s="45">
        <v>2146</v>
      </c>
      <c r="E22" s="45">
        <v>1</v>
      </c>
    </row>
    <row r="23" spans="1:5" ht="19.899999999999999" customHeight="1">
      <c r="A23" s="44" t="s">
        <v>144</v>
      </c>
      <c r="B23" s="44" t="s">
        <v>157</v>
      </c>
      <c r="C23" s="44" t="s">
        <v>158</v>
      </c>
      <c r="D23" s="45">
        <v>6000</v>
      </c>
      <c r="E23" s="45">
        <v>2</v>
      </c>
    </row>
    <row r="24" spans="1:5" ht="19.899999999999999" customHeight="1">
      <c r="A24" s="44" t="s">
        <v>144</v>
      </c>
      <c r="B24" s="44" t="s">
        <v>157</v>
      </c>
      <c r="C24" s="44" t="s">
        <v>159</v>
      </c>
      <c r="D24" s="45">
        <v>999</v>
      </c>
      <c r="E24" s="45">
        <v>1</v>
      </c>
    </row>
    <row r="25" spans="1:5" ht="19.899999999999999" customHeight="1">
      <c r="A25" s="44" t="s">
        <v>144</v>
      </c>
      <c r="B25" s="44" t="s">
        <v>157</v>
      </c>
      <c r="C25" s="44" t="s">
        <v>160</v>
      </c>
      <c r="D25" s="45">
        <v>999</v>
      </c>
      <c r="E25" s="45">
        <v>1</v>
      </c>
    </row>
    <row r="26" spans="1:5" ht="19.899999999999999" customHeight="1">
      <c r="A26" s="44" t="s">
        <v>144</v>
      </c>
      <c r="B26" s="44" t="s">
        <v>157</v>
      </c>
      <c r="C26" s="44" t="s">
        <v>161</v>
      </c>
      <c r="D26" s="45">
        <v>999</v>
      </c>
      <c r="E26" s="45">
        <v>1</v>
      </c>
    </row>
    <row r="27" spans="1:5" ht="19.899999999999999" customHeight="1">
      <c r="A27" s="44" t="s">
        <v>144</v>
      </c>
      <c r="B27" s="44" t="s">
        <v>157</v>
      </c>
      <c r="C27" s="44" t="s">
        <v>162</v>
      </c>
      <c r="D27" s="45">
        <v>999</v>
      </c>
      <c r="E27" s="45">
        <v>1</v>
      </c>
    </row>
    <row r="28" spans="1:5" ht="19.899999999999999" customHeight="1">
      <c r="A28" s="44" t="s">
        <v>144</v>
      </c>
      <c r="B28" s="44" t="s">
        <v>157</v>
      </c>
      <c r="C28" s="44" t="s">
        <v>163</v>
      </c>
      <c r="D28" s="45">
        <v>7250</v>
      </c>
      <c r="E28" s="45">
        <v>1</v>
      </c>
    </row>
    <row r="29" spans="1:5" ht="19.899999999999999" customHeight="1">
      <c r="A29" s="44" t="s">
        <v>144</v>
      </c>
      <c r="B29" s="44" t="s">
        <v>157</v>
      </c>
      <c r="C29" s="44" t="s">
        <v>164</v>
      </c>
      <c r="D29" s="45">
        <v>11500</v>
      </c>
      <c r="E29" s="45">
        <v>1</v>
      </c>
    </row>
    <row r="30" spans="1:5" ht="19.899999999999999" customHeight="1">
      <c r="A30" s="44" t="s">
        <v>144</v>
      </c>
      <c r="B30" s="44" t="s">
        <v>157</v>
      </c>
      <c r="C30" s="44" t="s">
        <v>318</v>
      </c>
      <c r="D30" s="45">
        <v>5750</v>
      </c>
      <c r="E30" s="45">
        <v>1</v>
      </c>
    </row>
    <row r="31" spans="1:5" ht="19.899999999999999" customHeight="1">
      <c r="A31" s="44" t="s">
        <v>144</v>
      </c>
      <c r="B31" s="44" t="s">
        <v>157</v>
      </c>
      <c r="C31" s="44" t="s">
        <v>165</v>
      </c>
      <c r="D31" s="45">
        <v>2380</v>
      </c>
      <c r="E31" s="45">
        <v>1</v>
      </c>
    </row>
    <row r="32" spans="1:5" ht="19.899999999999999" customHeight="1">
      <c r="A32" s="44" t="s">
        <v>144</v>
      </c>
      <c r="B32" s="44" t="s">
        <v>157</v>
      </c>
      <c r="C32" s="44" t="s">
        <v>166</v>
      </c>
      <c r="D32" s="45">
        <v>15000</v>
      </c>
      <c r="E32" s="45">
        <v>1</v>
      </c>
    </row>
    <row r="33" spans="1:5" ht="19.899999999999999" customHeight="1">
      <c r="A33" s="44" t="s">
        <v>144</v>
      </c>
      <c r="B33" s="44" t="s">
        <v>157</v>
      </c>
      <c r="C33" s="44" t="s">
        <v>319</v>
      </c>
      <c r="D33" s="45">
        <v>570</v>
      </c>
      <c r="E33" s="45">
        <v>1</v>
      </c>
    </row>
    <row r="34" spans="1:5" ht="19.899999999999999" customHeight="1">
      <c r="A34" s="44" t="s">
        <v>144</v>
      </c>
      <c r="B34" s="44" t="s">
        <v>157</v>
      </c>
      <c r="C34" s="44" t="s">
        <v>167</v>
      </c>
      <c r="D34" s="45">
        <v>1000</v>
      </c>
      <c r="E34" s="45">
        <v>1</v>
      </c>
    </row>
    <row r="35" spans="1:5" ht="19.899999999999999" customHeight="1">
      <c r="A35" s="44" t="s">
        <v>144</v>
      </c>
      <c r="B35" s="44" t="s">
        <v>157</v>
      </c>
      <c r="C35" s="44" t="s">
        <v>168</v>
      </c>
      <c r="D35" s="45">
        <v>800</v>
      </c>
      <c r="E35" s="45">
        <v>1</v>
      </c>
    </row>
    <row r="36" spans="1:5" ht="19.899999999999999" customHeight="1">
      <c r="A36" s="44" t="s">
        <v>144</v>
      </c>
      <c r="B36" s="44" t="s">
        <v>157</v>
      </c>
      <c r="C36" s="44" t="s">
        <v>169</v>
      </c>
      <c r="D36" s="45">
        <v>3000</v>
      </c>
      <c r="E36" s="45">
        <v>1</v>
      </c>
    </row>
    <row r="37" spans="1:5" ht="19.899999999999999" customHeight="1">
      <c r="A37" s="44" t="s">
        <v>144</v>
      </c>
      <c r="B37" s="44" t="s">
        <v>157</v>
      </c>
      <c r="C37" s="44" t="s">
        <v>170</v>
      </c>
      <c r="D37" s="45">
        <v>5500</v>
      </c>
      <c r="E37" s="45">
        <v>1</v>
      </c>
    </row>
    <row r="38" spans="1:5" ht="19.899999999999999" customHeight="1">
      <c r="A38" s="44" t="s">
        <v>144</v>
      </c>
      <c r="B38" s="44" t="s">
        <v>157</v>
      </c>
      <c r="C38" s="44" t="s">
        <v>171</v>
      </c>
      <c r="D38" s="45">
        <v>6000</v>
      </c>
      <c r="E38" s="45">
        <v>1</v>
      </c>
    </row>
    <row r="39" spans="1:5" ht="19.899999999999999" customHeight="1">
      <c r="A39" s="44" t="s">
        <v>144</v>
      </c>
      <c r="B39" s="44" t="s">
        <v>157</v>
      </c>
      <c r="C39" s="44" t="s">
        <v>172</v>
      </c>
      <c r="D39" s="45">
        <v>2000</v>
      </c>
      <c r="E39" s="45">
        <v>1</v>
      </c>
    </row>
    <row r="40" spans="1:5" ht="19.899999999999999" customHeight="1">
      <c r="A40" s="44" t="s">
        <v>173</v>
      </c>
      <c r="B40" s="44" t="s">
        <v>174</v>
      </c>
      <c r="C40" s="44" t="s">
        <v>175</v>
      </c>
      <c r="D40" s="45">
        <v>30000</v>
      </c>
      <c r="E40" s="45">
        <v>1</v>
      </c>
    </row>
    <row r="41" spans="1:5" ht="19.899999999999999" customHeight="1">
      <c r="A41" s="44" t="s">
        <v>176</v>
      </c>
      <c r="B41" s="44" t="s">
        <v>177</v>
      </c>
      <c r="C41" s="54" t="s">
        <v>380</v>
      </c>
      <c r="D41" s="45">
        <f>18000/15</f>
        <v>1200</v>
      </c>
      <c r="E41" s="45">
        <v>1</v>
      </c>
    </row>
    <row r="42" spans="1:5" ht="19.899999999999999" customHeight="1">
      <c r="A42" s="44" t="s">
        <v>176</v>
      </c>
      <c r="B42" s="44" t="s">
        <v>177</v>
      </c>
      <c r="C42" s="54" t="s">
        <v>381</v>
      </c>
      <c r="D42" s="45">
        <f>18000/9</f>
        <v>2000</v>
      </c>
      <c r="E42" s="45">
        <v>1</v>
      </c>
    </row>
    <row r="43" spans="1:5" ht="19.899999999999999" customHeight="1">
      <c r="A43" s="44" t="s">
        <v>326</v>
      </c>
      <c r="B43" s="44" t="s">
        <v>370</v>
      </c>
      <c r="C43" s="44" t="s">
        <v>327</v>
      </c>
      <c r="D43" s="45">
        <v>2875</v>
      </c>
      <c r="E43" s="45">
        <v>1</v>
      </c>
    </row>
    <row r="44" spans="1:5" ht="19.899999999999999" customHeight="1">
      <c r="A44" s="44" t="s">
        <v>326</v>
      </c>
      <c r="B44" s="44" t="s">
        <v>370</v>
      </c>
      <c r="C44" s="44" t="s">
        <v>328</v>
      </c>
      <c r="D44" s="45">
        <v>450</v>
      </c>
      <c r="E44" s="45">
        <v>2</v>
      </c>
    </row>
    <row r="45" spans="1:5" ht="19.899999999999999" customHeight="1">
      <c r="A45" s="44" t="s">
        <v>326</v>
      </c>
      <c r="B45" s="44" t="s">
        <v>370</v>
      </c>
      <c r="C45" s="44" t="s">
        <v>329</v>
      </c>
      <c r="D45" s="45">
        <v>906</v>
      </c>
      <c r="E45" s="45">
        <v>2</v>
      </c>
    </row>
    <row r="46" spans="1:5" ht="19.899999999999999" customHeight="1">
      <c r="A46" s="44" t="s">
        <v>326</v>
      </c>
      <c r="B46" s="44" t="s">
        <v>370</v>
      </c>
      <c r="C46" s="44" t="s">
        <v>330</v>
      </c>
      <c r="D46" s="45">
        <v>11500</v>
      </c>
      <c r="E46" s="45">
        <v>1</v>
      </c>
    </row>
    <row r="47" spans="1:5" ht="19.899999999999999" customHeight="1">
      <c r="A47" s="44" t="s">
        <v>326</v>
      </c>
      <c r="B47" s="44" t="s">
        <v>370</v>
      </c>
      <c r="C47" s="44" t="s">
        <v>331</v>
      </c>
      <c r="D47" s="45">
        <v>2900</v>
      </c>
      <c r="E47" s="45">
        <v>2</v>
      </c>
    </row>
    <row r="48" spans="1:5" ht="19.899999999999999" customHeight="1">
      <c r="A48" s="44" t="s">
        <v>326</v>
      </c>
      <c r="B48" s="44" t="s">
        <v>370</v>
      </c>
      <c r="C48" s="44" t="s">
        <v>332</v>
      </c>
      <c r="D48" s="45">
        <v>2500</v>
      </c>
      <c r="E48" s="45">
        <v>1</v>
      </c>
    </row>
    <row r="49" spans="1:5" ht="19.899999999999999" customHeight="1">
      <c r="A49" s="44" t="s">
        <v>326</v>
      </c>
      <c r="B49" s="44" t="s">
        <v>370</v>
      </c>
      <c r="C49" s="44" t="s">
        <v>327</v>
      </c>
      <c r="D49" s="45">
        <v>500</v>
      </c>
      <c r="E49" s="45">
        <v>1</v>
      </c>
    </row>
    <row r="50" spans="1:5" ht="19.899999999999999" customHeight="1">
      <c r="A50" s="44" t="s">
        <v>326</v>
      </c>
      <c r="B50" s="44" t="s">
        <v>370</v>
      </c>
      <c r="C50" s="44" t="s">
        <v>333</v>
      </c>
      <c r="D50" s="45">
        <v>5000</v>
      </c>
      <c r="E50" s="53">
        <v>0.2</v>
      </c>
    </row>
    <row r="51" spans="1:5" ht="19.899999999999999" customHeight="1">
      <c r="A51" s="44" t="s">
        <v>326</v>
      </c>
      <c r="B51" s="44" t="s">
        <v>335</v>
      </c>
      <c r="C51" s="44" t="s">
        <v>334</v>
      </c>
      <c r="D51" s="45">
        <v>2500</v>
      </c>
      <c r="E51" s="45">
        <v>2</v>
      </c>
    </row>
    <row r="52" spans="1:5" ht="19.899999999999999" customHeight="1">
      <c r="A52" s="44" t="s">
        <v>326</v>
      </c>
      <c r="B52" s="55" t="s">
        <v>336</v>
      </c>
      <c r="C52" s="55" t="s">
        <v>347</v>
      </c>
      <c r="D52" s="45"/>
      <c r="E52" s="45">
        <v>1</v>
      </c>
    </row>
    <row r="53" spans="1:5" ht="19.899999999999999" customHeight="1">
      <c r="A53" s="44" t="s">
        <v>326</v>
      </c>
      <c r="B53" s="44" t="s">
        <v>376</v>
      </c>
      <c r="C53" s="44" t="s">
        <v>378</v>
      </c>
      <c r="D53" s="45">
        <v>7000</v>
      </c>
      <c r="E53" s="45">
        <v>1</v>
      </c>
    </row>
    <row r="54" spans="1:5" ht="19.899999999999999" customHeight="1">
      <c r="A54" s="44" t="s">
        <v>326</v>
      </c>
      <c r="B54" s="44" t="s">
        <v>375</v>
      </c>
      <c r="C54" s="44" t="s">
        <v>378</v>
      </c>
      <c r="D54" s="45">
        <v>7500</v>
      </c>
      <c r="E54" s="45">
        <v>1</v>
      </c>
    </row>
    <row r="55" spans="1:5" ht="19.899999999999999" customHeight="1">
      <c r="A55" s="44" t="s">
        <v>326</v>
      </c>
      <c r="B55" s="44" t="s">
        <v>377</v>
      </c>
      <c r="C55" s="44" t="s">
        <v>379</v>
      </c>
      <c r="D55" s="45">
        <v>4500</v>
      </c>
      <c r="E55" s="45">
        <v>2</v>
      </c>
    </row>
    <row r="56" spans="1:5" ht="19.899999999999999" customHeight="1">
      <c r="A56" s="44" t="s">
        <v>178</v>
      </c>
      <c r="B56" s="44" t="s">
        <v>178</v>
      </c>
      <c r="C56" s="44" t="s">
        <v>179</v>
      </c>
      <c r="D56" s="45">
        <v>5000</v>
      </c>
      <c r="E56" s="45">
        <v>1</v>
      </c>
    </row>
    <row r="57" spans="1:5" ht="19.899999999999999" customHeight="1">
      <c r="A57" s="44" t="s">
        <v>178</v>
      </c>
      <c r="B57" s="44" t="s">
        <v>178</v>
      </c>
      <c r="C57" s="44" t="s">
        <v>180</v>
      </c>
      <c r="D57" s="45">
        <v>100000</v>
      </c>
      <c r="E57" s="45">
        <v>1</v>
      </c>
    </row>
    <row r="58" spans="1:5" ht="19.899999999999999" customHeight="1">
      <c r="A58" s="44" t="s">
        <v>178</v>
      </c>
      <c r="B58" s="44" t="s">
        <v>178</v>
      </c>
      <c r="C58" s="44" t="s">
        <v>320</v>
      </c>
      <c r="D58" s="45">
        <v>85000</v>
      </c>
      <c r="E58" s="45">
        <v>1</v>
      </c>
    </row>
    <row r="59" spans="1:5" ht="19.899999999999999" customHeight="1">
      <c r="A59" s="44" t="s">
        <v>178</v>
      </c>
      <c r="B59" s="44" t="s">
        <v>178</v>
      </c>
      <c r="C59" s="44" t="s">
        <v>321</v>
      </c>
      <c r="D59" s="45">
        <v>75000</v>
      </c>
      <c r="E59" s="45">
        <v>1</v>
      </c>
    </row>
    <row r="60" spans="1:5" ht="19.899999999999999" customHeight="1">
      <c r="A60" s="44" t="s">
        <v>384</v>
      </c>
      <c r="B60" s="44" t="s">
        <v>181</v>
      </c>
      <c r="C60" s="54" t="s">
        <v>382</v>
      </c>
      <c r="D60" s="45">
        <f>15000/37</f>
        <v>405.40540540540542</v>
      </c>
      <c r="E60" s="45">
        <v>1</v>
      </c>
    </row>
    <row r="61" spans="1:5" ht="19.899999999999999" customHeight="1">
      <c r="A61" s="44" t="s">
        <v>176</v>
      </c>
      <c r="B61" s="44" t="s">
        <v>181</v>
      </c>
      <c r="C61" s="54" t="s">
        <v>383</v>
      </c>
      <c r="D61" s="45">
        <f>15000/16</f>
        <v>937.5</v>
      </c>
      <c r="E61" s="45">
        <v>1</v>
      </c>
    </row>
    <row r="62" spans="1:5" ht="19.899999999999999" customHeight="1">
      <c r="A62" s="44" t="s">
        <v>182</v>
      </c>
      <c r="B62" s="44" t="s">
        <v>14</v>
      </c>
      <c r="C62" s="46" t="s">
        <v>183</v>
      </c>
      <c r="D62" s="45"/>
      <c r="E62" s="45">
        <v>1</v>
      </c>
    </row>
    <row r="63" spans="1:5" ht="19.899999999999999" customHeight="1">
      <c r="A63" s="44" t="s">
        <v>182</v>
      </c>
      <c r="B63" s="44" t="s">
        <v>184</v>
      </c>
      <c r="C63" s="46" t="s">
        <v>337</v>
      </c>
      <c r="D63" s="45"/>
      <c r="E63" s="45">
        <v>1</v>
      </c>
    </row>
    <row r="64" spans="1:5" ht="19.899999999999999" customHeight="1">
      <c r="A64" s="44" t="s">
        <v>185</v>
      </c>
      <c r="B64" s="44" t="s">
        <v>186</v>
      </c>
      <c r="C64" s="46" t="s">
        <v>187</v>
      </c>
      <c r="D64" s="45"/>
      <c r="E64" s="45">
        <v>1</v>
      </c>
    </row>
    <row r="65" spans="1:5" ht="19.899999999999999" customHeight="1">
      <c r="A65" s="44" t="s">
        <v>185</v>
      </c>
      <c r="B65" s="44" t="s">
        <v>184</v>
      </c>
      <c r="C65" s="46" t="s">
        <v>188</v>
      </c>
      <c r="D65" s="45">
        <v>49500</v>
      </c>
      <c r="E65" s="45">
        <v>1</v>
      </c>
    </row>
    <row r="66" spans="1:5" ht="19.899999999999999" customHeight="1">
      <c r="A66" s="44" t="s">
        <v>185</v>
      </c>
      <c r="B66" s="44" t="s">
        <v>189</v>
      </c>
      <c r="C66" s="44" t="s">
        <v>190</v>
      </c>
      <c r="D66" s="45">
        <v>12000</v>
      </c>
      <c r="E66" s="45">
        <v>1</v>
      </c>
    </row>
    <row r="67" spans="1:5" ht="19.899999999999999" customHeight="1">
      <c r="A67" s="44" t="s">
        <v>185</v>
      </c>
      <c r="B67" s="44" t="s">
        <v>189</v>
      </c>
      <c r="C67" s="44" t="s">
        <v>191</v>
      </c>
      <c r="D67" s="45">
        <v>4500</v>
      </c>
      <c r="E67" s="45">
        <v>1</v>
      </c>
    </row>
    <row r="68" spans="1:5" ht="19.899999999999999" customHeight="1">
      <c r="A68" s="44" t="s">
        <v>185</v>
      </c>
      <c r="B68" s="44" t="s">
        <v>189</v>
      </c>
      <c r="C68" s="44" t="s">
        <v>192</v>
      </c>
      <c r="D68" s="45">
        <v>1500</v>
      </c>
      <c r="E68" s="45">
        <v>1</v>
      </c>
    </row>
    <row r="69" spans="1:5" ht="19.899999999999999" customHeight="1">
      <c r="A69" s="44" t="s">
        <v>193</v>
      </c>
      <c r="B69" s="44" t="s">
        <v>194</v>
      </c>
      <c r="C69" s="44" t="s">
        <v>195</v>
      </c>
      <c r="D69" s="45">
        <v>37500</v>
      </c>
      <c r="E69" s="45">
        <v>1</v>
      </c>
    </row>
    <row r="70" spans="1:5" ht="19.899999999999999" customHeight="1">
      <c r="A70" s="44" t="s">
        <v>193</v>
      </c>
      <c r="B70" s="44" t="s">
        <v>194</v>
      </c>
      <c r="C70" s="44" t="s">
        <v>196</v>
      </c>
      <c r="D70" s="45">
        <v>41500</v>
      </c>
      <c r="E70" s="45">
        <v>1</v>
      </c>
    </row>
    <row r="71" spans="1:5" ht="19.899999999999999" customHeight="1">
      <c r="A71" s="44" t="s">
        <v>193</v>
      </c>
      <c r="B71" s="44" t="s">
        <v>194</v>
      </c>
      <c r="C71" s="44" t="s">
        <v>197</v>
      </c>
      <c r="D71" s="45">
        <v>45500</v>
      </c>
      <c r="E71" s="45">
        <v>1</v>
      </c>
    </row>
    <row r="72" spans="1:5" ht="19.899999999999999" customHeight="1">
      <c r="A72" s="44" t="s">
        <v>193</v>
      </c>
      <c r="B72" s="44" t="s">
        <v>194</v>
      </c>
      <c r="C72" s="44" t="s">
        <v>198</v>
      </c>
      <c r="D72" s="45">
        <v>49500</v>
      </c>
      <c r="E72" s="45">
        <v>1</v>
      </c>
    </row>
    <row r="73" spans="1:5" ht="19.899999999999999" customHeight="1">
      <c r="A73" s="44" t="s">
        <v>193</v>
      </c>
      <c r="B73" s="44" t="s">
        <v>194</v>
      </c>
      <c r="C73" s="44" t="s">
        <v>199</v>
      </c>
      <c r="D73" s="45">
        <v>55500</v>
      </c>
      <c r="E73" s="45">
        <v>1</v>
      </c>
    </row>
    <row r="74" spans="1:5" ht="19.899999999999999" customHeight="1">
      <c r="A74" s="44" t="s">
        <v>193</v>
      </c>
      <c r="B74" s="44" t="s">
        <v>194</v>
      </c>
      <c r="C74" s="44" t="s">
        <v>200</v>
      </c>
      <c r="D74" s="45">
        <v>58500</v>
      </c>
      <c r="E74" s="45">
        <v>1</v>
      </c>
    </row>
    <row r="75" spans="1:5" ht="19.899999999999999" customHeight="1">
      <c r="A75" s="44" t="s">
        <v>193</v>
      </c>
      <c r="B75" s="44" t="s">
        <v>194</v>
      </c>
      <c r="C75" s="44" t="s">
        <v>201</v>
      </c>
      <c r="D75" s="45">
        <v>61500</v>
      </c>
      <c r="E75" s="45">
        <v>1</v>
      </c>
    </row>
    <row r="76" spans="1:5" ht="19.899999999999999" customHeight="1">
      <c r="A76" s="44" t="s">
        <v>193</v>
      </c>
      <c r="B76" s="44" t="s">
        <v>194</v>
      </c>
      <c r="C76" s="44" t="s">
        <v>202</v>
      </c>
      <c r="D76" s="45">
        <v>66500</v>
      </c>
      <c r="E76" s="45">
        <v>1</v>
      </c>
    </row>
    <row r="77" spans="1:5" ht="19.899999999999999" customHeight="1">
      <c r="A77" s="44" t="s">
        <v>193</v>
      </c>
      <c r="B77" s="44" t="s">
        <v>203</v>
      </c>
      <c r="C77" s="44" t="s">
        <v>204</v>
      </c>
      <c r="D77" s="45">
        <v>3000</v>
      </c>
      <c r="E77" s="45">
        <v>1</v>
      </c>
    </row>
    <row r="78" spans="1:5" ht="19.899999999999999" customHeight="1">
      <c r="A78" s="44" t="s">
        <v>193</v>
      </c>
      <c r="B78" s="44" t="s">
        <v>203</v>
      </c>
      <c r="C78" s="44" t="s">
        <v>205</v>
      </c>
      <c r="D78" s="45">
        <v>500</v>
      </c>
      <c r="E78" s="45">
        <v>1</v>
      </c>
    </row>
    <row r="79" spans="1:5" ht="19.899999999999999" customHeight="1">
      <c r="A79" s="44" t="s">
        <v>193</v>
      </c>
      <c r="B79" s="44" t="s">
        <v>203</v>
      </c>
      <c r="C79" s="44" t="s">
        <v>206</v>
      </c>
      <c r="D79" s="45">
        <v>49500</v>
      </c>
      <c r="E79" s="45">
        <v>1</v>
      </c>
    </row>
    <row r="80" spans="1:5" ht="19.899999999999999" customHeight="1">
      <c r="A80" s="44" t="s">
        <v>207</v>
      </c>
      <c r="B80" s="44" t="s">
        <v>208</v>
      </c>
      <c r="C80" s="44" t="s">
        <v>209</v>
      </c>
      <c r="D80" s="45">
        <v>65000</v>
      </c>
      <c r="E80" s="45">
        <v>1</v>
      </c>
    </row>
    <row r="81" spans="1:5" ht="19.899999999999999" customHeight="1">
      <c r="A81" s="44" t="s">
        <v>207</v>
      </c>
      <c r="B81" s="44" t="s">
        <v>208</v>
      </c>
      <c r="C81" s="44" t="s">
        <v>210</v>
      </c>
      <c r="D81" s="45">
        <v>65000</v>
      </c>
      <c r="E81" s="45">
        <v>1</v>
      </c>
    </row>
    <row r="82" spans="1:5" ht="19.899999999999999" customHeight="1">
      <c r="A82" s="44" t="s">
        <v>207</v>
      </c>
      <c r="B82" s="44" t="s">
        <v>184</v>
      </c>
      <c r="C82" s="44" t="s">
        <v>188</v>
      </c>
      <c r="D82" s="45">
        <v>49500</v>
      </c>
      <c r="E82" s="45">
        <v>1</v>
      </c>
    </row>
    <row r="83" spans="1:5" ht="19.899999999999999" customHeight="1">
      <c r="A83" s="44" t="s">
        <v>207</v>
      </c>
      <c r="B83" s="44" t="s">
        <v>189</v>
      </c>
      <c r="C83" s="44" t="s">
        <v>211</v>
      </c>
      <c r="D83" s="45">
        <v>25000</v>
      </c>
      <c r="E83" s="45">
        <v>1</v>
      </c>
    </row>
    <row r="84" spans="1:5" ht="19.899999999999999" customHeight="1">
      <c r="A84" s="44" t="s">
        <v>212</v>
      </c>
      <c r="B84" s="44" t="s">
        <v>213</v>
      </c>
      <c r="C84" s="54" t="s">
        <v>322</v>
      </c>
      <c r="D84" s="45">
        <v>89000</v>
      </c>
      <c r="E84" s="45">
        <v>1</v>
      </c>
    </row>
    <row r="85" spans="1:5" ht="19.899999999999999" customHeight="1">
      <c r="A85" s="44" t="s">
        <v>212</v>
      </c>
      <c r="B85" s="44" t="s">
        <v>213</v>
      </c>
      <c r="C85" s="54" t="s">
        <v>323</v>
      </c>
      <c r="D85" s="45">
        <v>83000</v>
      </c>
      <c r="E85" s="45">
        <v>1</v>
      </c>
    </row>
    <row r="86" spans="1:5" ht="19.899999999999999" customHeight="1">
      <c r="A86" s="44" t="s">
        <v>212</v>
      </c>
      <c r="B86" s="44" t="s">
        <v>213</v>
      </c>
      <c r="C86" s="54" t="s">
        <v>350</v>
      </c>
      <c r="D86" s="45">
        <v>170000</v>
      </c>
      <c r="E86" s="45">
        <v>1</v>
      </c>
    </row>
    <row r="87" spans="1:5" ht="19.899999999999999" customHeight="1">
      <c r="A87" s="44" t="s">
        <v>212</v>
      </c>
      <c r="B87" s="54" t="s">
        <v>214</v>
      </c>
      <c r="C87" s="44" t="s">
        <v>351</v>
      </c>
      <c r="D87" s="45">
        <v>42000</v>
      </c>
      <c r="E87" s="45">
        <v>1</v>
      </c>
    </row>
    <row r="88" spans="1:5" ht="19.899999999999999" customHeight="1">
      <c r="A88" s="44" t="s">
        <v>212</v>
      </c>
      <c r="B88" s="54" t="s">
        <v>214</v>
      </c>
      <c r="C88" s="44" t="s">
        <v>352</v>
      </c>
      <c r="D88" s="45">
        <v>42000</v>
      </c>
      <c r="E88" s="45">
        <v>1</v>
      </c>
    </row>
    <row r="89" spans="1:5" ht="19.899999999999999" customHeight="1">
      <c r="A89" s="44" t="s">
        <v>212</v>
      </c>
      <c r="B89" s="54" t="s">
        <v>215</v>
      </c>
      <c r="C89" s="44" t="s">
        <v>353</v>
      </c>
      <c r="D89" s="45">
        <v>65000</v>
      </c>
      <c r="E89" s="45">
        <v>1</v>
      </c>
    </row>
    <row r="90" spans="1:5" ht="19.899999999999999" customHeight="1">
      <c r="A90" s="44" t="s">
        <v>212</v>
      </c>
      <c r="B90" s="54" t="s">
        <v>215</v>
      </c>
      <c r="C90" s="44" t="s">
        <v>354</v>
      </c>
      <c r="D90" s="45">
        <v>79000</v>
      </c>
      <c r="E90" s="45">
        <v>1</v>
      </c>
    </row>
    <row r="91" spans="1:5" ht="19.899999999999999" customHeight="1">
      <c r="A91" s="44" t="s">
        <v>212</v>
      </c>
      <c r="B91" s="54" t="s">
        <v>215</v>
      </c>
      <c r="C91" s="44" t="s">
        <v>355</v>
      </c>
      <c r="D91" s="45">
        <v>116000</v>
      </c>
      <c r="E91" s="45">
        <v>1</v>
      </c>
    </row>
    <row r="92" spans="1:5" ht="19.899999999999999" customHeight="1">
      <c r="A92" s="44" t="s">
        <v>212</v>
      </c>
      <c r="B92" s="54" t="s">
        <v>215</v>
      </c>
      <c r="C92" s="44" t="s">
        <v>356</v>
      </c>
      <c r="D92" s="45">
        <v>52000</v>
      </c>
      <c r="E92" s="45">
        <v>1</v>
      </c>
    </row>
    <row r="93" spans="1:5" ht="19.899999999999999" customHeight="1">
      <c r="A93" s="44" t="s">
        <v>212</v>
      </c>
      <c r="B93" s="54" t="s">
        <v>215</v>
      </c>
      <c r="C93" s="44" t="s">
        <v>357</v>
      </c>
      <c r="D93" s="45">
        <v>58000</v>
      </c>
      <c r="E93" s="45">
        <v>1</v>
      </c>
    </row>
    <row r="94" spans="1:5" ht="19.899999999999999" customHeight="1">
      <c r="A94" s="44" t="s">
        <v>212</v>
      </c>
      <c r="B94" s="54" t="s">
        <v>215</v>
      </c>
      <c r="C94" s="44" t="s">
        <v>358</v>
      </c>
      <c r="D94" s="45">
        <v>91000</v>
      </c>
      <c r="E94" s="45">
        <v>1</v>
      </c>
    </row>
    <row r="95" spans="1:5" ht="19.899999999999999" customHeight="1">
      <c r="A95" s="44" t="s">
        <v>212</v>
      </c>
      <c r="B95" s="54" t="s">
        <v>216</v>
      </c>
      <c r="C95" s="44" t="s">
        <v>309</v>
      </c>
      <c r="D95" s="45">
        <v>9900</v>
      </c>
      <c r="E95" s="45">
        <v>1</v>
      </c>
    </row>
    <row r="96" spans="1:5" ht="19.899999999999999" customHeight="1">
      <c r="A96" s="44" t="s">
        <v>212</v>
      </c>
      <c r="B96" s="54" t="s">
        <v>216</v>
      </c>
      <c r="C96" s="44" t="s">
        <v>310</v>
      </c>
      <c r="D96" s="45">
        <v>6400</v>
      </c>
      <c r="E96" s="45">
        <v>1</v>
      </c>
    </row>
    <row r="97" spans="1:5" ht="19.899999999999999" customHeight="1">
      <c r="A97" s="44" t="s">
        <v>212</v>
      </c>
      <c r="B97" s="54" t="s">
        <v>216</v>
      </c>
      <c r="C97" s="44" t="s">
        <v>217</v>
      </c>
      <c r="D97" s="45">
        <v>5000</v>
      </c>
      <c r="E97" s="45">
        <v>1</v>
      </c>
    </row>
    <row r="98" spans="1:5" ht="19.899999999999999" customHeight="1">
      <c r="A98" s="44" t="s">
        <v>212</v>
      </c>
      <c r="B98" s="54" t="s">
        <v>216</v>
      </c>
      <c r="C98" s="44" t="s">
        <v>218</v>
      </c>
      <c r="D98" s="45">
        <v>1000</v>
      </c>
      <c r="E98" s="45">
        <v>1</v>
      </c>
    </row>
    <row r="99" spans="1:5" ht="19.899999999999999" customHeight="1">
      <c r="A99" s="44" t="s">
        <v>219</v>
      </c>
      <c r="B99" s="44" t="s">
        <v>219</v>
      </c>
      <c r="C99" s="44" t="s">
        <v>306</v>
      </c>
      <c r="D99" s="45">
        <v>25500</v>
      </c>
      <c r="E99" s="45">
        <v>1</v>
      </c>
    </row>
    <row r="100" spans="1:5" ht="19.899999999999999" customHeight="1">
      <c r="A100" s="44" t="s">
        <v>219</v>
      </c>
      <c r="B100" s="44" t="s">
        <v>219</v>
      </c>
      <c r="C100" s="44" t="s">
        <v>307</v>
      </c>
      <c r="D100" s="45">
        <v>39000</v>
      </c>
      <c r="E100" s="45">
        <v>1</v>
      </c>
    </row>
    <row r="101" spans="1:5" ht="19.899999999999999" customHeight="1">
      <c r="A101" s="44" t="s">
        <v>219</v>
      </c>
      <c r="B101" s="44" t="s">
        <v>219</v>
      </c>
      <c r="C101" s="44" t="s">
        <v>308</v>
      </c>
      <c r="D101" s="45">
        <v>40900</v>
      </c>
      <c r="E101" s="45">
        <v>1</v>
      </c>
    </row>
    <row r="102" spans="1:5" ht="19.899999999999999" customHeight="1">
      <c r="A102" s="44" t="s">
        <v>219</v>
      </c>
      <c r="B102" s="44" t="s">
        <v>219</v>
      </c>
      <c r="C102" s="44" t="s">
        <v>303</v>
      </c>
      <c r="D102" s="45">
        <v>38900</v>
      </c>
      <c r="E102" s="45">
        <v>1</v>
      </c>
    </row>
    <row r="103" spans="1:5" ht="19.899999999999999" customHeight="1">
      <c r="A103" s="44" t="s">
        <v>219</v>
      </c>
      <c r="B103" s="44" t="s">
        <v>219</v>
      </c>
      <c r="C103" s="44" t="s">
        <v>304</v>
      </c>
      <c r="D103" s="45">
        <v>40800</v>
      </c>
      <c r="E103" s="45">
        <v>1</v>
      </c>
    </row>
    <row r="104" spans="1:5" ht="19.899999999999999" customHeight="1">
      <c r="A104" s="44" t="s">
        <v>219</v>
      </c>
      <c r="B104" s="44" t="s">
        <v>219</v>
      </c>
      <c r="C104" s="44" t="s">
        <v>305</v>
      </c>
      <c r="D104" s="45">
        <v>12000</v>
      </c>
      <c r="E104" s="45">
        <v>1</v>
      </c>
    </row>
    <row r="105" spans="1:5" ht="19.899999999999999" customHeight="1">
      <c r="A105" s="44" t="s">
        <v>219</v>
      </c>
      <c r="B105" s="44" t="s">
        <v>219</v>
      </c>
      <c r="C105" s="44" t="s">
        <v>220</v>
      </c>
      <c r="D105" s="45">
        <v>170000</v>
      </c>
      <c r="E105" s="45">
        <v>1</v>
      </c>
    </row>
    <row r="106" spans="1:5" ht="19.899999999999999" customHeight="1">
      <c r="A106" s="44" t="s">
        <v>219</v>
      </c>
      <c r="B106" s="44" t="s">
        <v>219</v>
      </c>
      <c r="C106" s="44" t="s">
        <v>221</v>
      </c>
      <c r="D106" s="45">
        <v>220000</v>
      </c>
      <c r="E106" s="45">
        <v>1</v>
      </c>
    </row>
    <row r="107" spans="1:5" ht="19.899999999999999" customHeight="1">
      <c r="A107" s="44" t="s">
        <v>219</v>
      </c>
      <c r="B107" s="44" t="s">
        <v>219</v>
      </c>
      <c r="C107" s="44" t="s">
        <v>222</v>
      </c>
      <c r="D107" s="45">
        <v>25000</v>
      </c>
      <c r="E107" s="45">
        <v>1</v>
      </c>
    </row>
    <row r="108" spans="1:5" ht="19.899999999999999" customHeight="1">
      <c r="A108" s="44" t="s">
        <v>219</v>
      </c>
      <c r="B108" s="44" t="s">
        <v>219</v>
      </c>
      <c r="C108" s="44" t="s">
        <v>223</v>
      </c>
      <c r="D108" s="45">
        <v>4500</v>
      </c>
      <c r="E108" s="45">
        <v>1</v>
      </c>
    </row>
    <row r="109" spans="1:5" ht="19.899999999999999" customHeight="1">
      <c r="A109" s="44" t="s">
        <v>224</v>
      </c>
      <c r="B109" s="54" t="s">
        <v>359</v>
      </c>
      <c r="C109" s="44" t="s">
        <v>225</v>
      </c>
      <c r="D109" s="45">
        <v>58500</v>
      </c>
      <c r="E109" s="45">
        <v>1</v>
      </c>
    </row>
    <row r="110" spans="1:5" ht="19.899999999999999" customHeight="1">
      <c r="A110" s="44" t="s">
        <v>224</v>
      </c>
      <c r="B110" s="46" t="s">
        <v>360</v>
      </c>
      <c r="C110" s="55" t="s">
        <v>346</v>
      </c>
      <c r="D110" s="45"/>
      <c r="E110" s="45">
        <v>1</v>
      </c>
    </row>
    <row r="111" spans="1:5" ht="19.899999999999999" customHeight="1">
      <c r="A111" s="44" t="s">
        <v>226</v>
      </c>
      <c r="B111" s="44" t="s">
        <v>226</v>
      </c>
      <c r="C111" s="44" t="s">
        <v>302</v>
      </c>
      <c r="D111" s="45">
        <v>15000</v>
      </c>
      <c r="E111" s="45">
        <v>1</v>
      </c>
    </row>
    <row r="112" spans="1:5" ht="19.899999999999999" customHeight="1">
      <c r="A112" s="44" t="s">
        <v>227</v>
      </c>
      <c r="B112" s="44" t="s">
        <v>227</v>
      </c>
      <c r="C112" s="44" t="s">
        <v>311</v>
      </c>
      <c r="D112" s="45">
        <v>9500</v>
      </c>
      <c r="E112" s="45">
        <v>1</v>
      </c>
    </row>
    <row r="113" spans="1:5" ht="19.899999999999999" customHeight="1">
      <c r="A113" s="44" t="s">
        <v>227</v>
      </c>
      <c r="B113" s="44" t="s">
        <v>227</v>
      </c>
      <c r="C113" s="44" t="s">
        <v>312</v>
      </c>
      <c r="D113" s="45">
        <v>11000</v>
      </c>
      <c r="E113" s="45">
        <v>1</v>
      </c>
    </row>
    <row r="114" spans="1:5" ht="19.899999999999999" customHeight="1">
      <c r="A114" s="44" t="s">
        <v>227</v>
      </c>
      <c r="B114" s="44" t="s">
        <v>227</v>
      </c>
      <c r="C114" s="44" t="s">
        <v>228</v>
      </c>
      <c r="D114" s="45">
        <v>999</v>
      </c>
      <c r="E114" s="45">
        <v>1</v>
      </c>
    </row>
    <row r="115" spans="1:5" ht="19.899999999999999" customHeight="1">
      <c r="A115" s="44" t="s">
        <v>227</v>
      </c>
      <c r="B115" s="44" t="s">
        <v>227</v>
      </c>
      <c r="C115" s="44" t="s">
        <v>313</v>
      </c>
      <c r="D115" s="45">
        <v>10200</v>
      </c>
      <c r="E115" s="45">
        <v>1</v>
      </c>
    </row>
    <row r="116" spans="1:5" ht="19.899999999999999" customHeight="1">
      <c r="A116" s="44" t="s">
        <v>227</v>
      </c>
      <c r="B116" s="44" t="s">
        <v>227</v>
      </c>
      <c r="C116" s="44" t="s">
        <v>314</v>
      </c>
      <c r="D116" s="45">
        <v>11000</v>
      </c>
      <c r="E116" s="45">
        <v>1</v>
      </c>
    </row>
    <row r="117" spans="1:5" ht="19.899999999999999" customHeight="1">
      <c r="A117" s="44" t="s">
        <v>227</v>
      </c>
      <c r="B117" s="44" t="s">
        <v>227</v>
      </c>
      <c r="C117" s="44" t="s">
        <v>315</v>
      </c>
      <c r="D117" s="45">
        <v>11000</v>
      </c>
      <c r="E117" s="45">
        <v>1</v>
      </c>
    </row>
    <row r="118" spans="1:5" ht="19.899999999999999" customHeight="1">
      <c r="A118" s="44" t="s">
        <v>227</v>
      </c>
      <c r="B118" s="44" t="s">
        <v>227</v>
      </c>
      <c r="C118" s="44" t="s">
        <v>229</v>
      </c>
      <c r="D118" s="45">
        <v>15000</v>
      </c>
      <c r="E118" s="45">
        <v>1</v>
      </c>
    </row>
    <row r="119" spans="1:5" ht="19.899999999999999" customHeight="1">
      <c r="A119" s="44" t="s">
        <v>227</v>
      </c>
      <c r="B119" s="44" t="s">
        <v>227</v>
      </c>
      <c r="C119" s="44" t="s">
        <v>230</v>
      </c>
      <c r="D119" s="45">
        <v>40000</v>
      </c>
      <c r="E119" s="45">
        <v>1</v>
      </c>
    </row>
    <row r="120" spans="1:5" ht="19.899999999999999" customHeight="1">
      <c r="A120" s="44" t="s">
        <v>227</v>
      </c>
      <c r="B120" s="54" t="s">
        <v>231</v>
      </c>
      <c r="C120" s="44" t="s">
        <v>232</v>
      </c>
      <c r="D120" s="45">
        <v>30000</v>
      </c>
      <c r="E120" s="45">
        <v>1</v>
      </c>
    </row>
    <row r="121" spans="1:5" ht="19.899999999999999" customHeight="1">
      <c r="A121" s="44" t="s">
        <v>227</v>
      </c>
      <c r="B121" s="54" t="s">
        <v>231</v>
      </c>
      <c r="C121" s="44" t="s">
        <v>233</v>
      </c>
      <c r="D121" s="45">
        <v>44000</v>
      </c>
      <c r="E121" s="45">
        <v>1</v>
      </c>
    </row>
    <row r="122" spans="1:5" ht="19.899999999999999" customHeight="1">
      <c r="A122" s="44" t="s">
        <v>227</v>
      </c>
      <c r="B122" s="54" t="s">
        <v>231</v>
      </c>
      <c r="C122" s="44" t="s">
        <v>234</v>
      </c>
      <c r="D122" s="45">
        <v>20000</v>
      </c>
      <c r="E122" s="45">
        <v>1</v>
      </c>
    </row>
    <row r="123" spans="1:5" ht="19.899999999999999" customHeight="1">
      <c r="A123" s="44" t="s">
        <v>227</v>
      </c>
      <c r="B123" s="54" t="s">
        <v>231</v>
      </c>
      <c r="C123" s="44" t="s">
        <v>235</v>
      </c>
      <c r="D123" s="45">
        <v>74000</v>
      </c>
      <c r="E123" s="45">
        <v>1</v>
      </c>
    </row>
    <row r="124" spans="1:5" ht="19.899999999999999" customHeight="1">
      <c r="A124" s="44" t="s">
        <v>236</v>
      </c>
      <c r="B124" s="46" t="s">
        <v>237</v>
      </c>
      <c r="C124" s="46" t="s">
        <v>338</v>
      </c>
      <c r="D124" s="45"/>
      <c r="E124" s="45">
        <v>1</v>
      </c>
    </row>
    <row r="125" spans="1:5" ht="19.899999999999999" customHeight="1">
      <c r="A125" s="44" t="s">
        <v>236</v>
      </c>
      <c r="B125" s="46" t="s">
        <v>238</v>
      </c>
      <c r="C125" s="46" t="s">
        <v>339</v>
      </c>
      <c r="D125" s="45"/>
      <c r="E125" s="45">
        <v>1</v>
      </c>
    </row>
    <row r="126" spans="1:5" ht="19.899999999999999" customHeight="1">
      <c r="A126" s="44" t="s">
        <v>239</v>
      </c>
      <c r="B126" s="55" t="s">
        <v>239</v>
      </c>
      <c r="C126" s="55" t="s">
        <v>343</v>
      </c>
      <c r="D126" s="45"/>
      <c r="E126" s="45">
        <v>1</v>
      </c>
    </row>
    <row r="127" spans="1:5" ht="19.899999999999999" customHeight="1">
      <c r="A127" s="44" t="s">
        <v>239</v>
      </c>
      <c r="B127" s="55" t="s">
        <v>239</v>
      </c>
      <c r="C127" s="55" t="s">
        <v>344</v>
      </c>
      <c r="D127" s="45"/>
      <c r="E127" s="45">
        <v>1</v>
      </c>
    </row>
    <row r="128" spans="1:5" ht="19.899999999999999" customHeight="1">
      <c r="A128" s="44" t="s">
        <v>239</v>
      </c>
      <c r="B128" s="55" t="s">
        <v>239</v>
      </c>
      <c r="C128" s="55" t="s">
        <v>345</v>
      </c>
      <c r="D128" s="45"/>
      <c r="E128" s="45">
        <v>1</v>
      </c>
    </row>
    <row r="129" spans="1:5" ht="19.899999999999999" customHeight="1">
      <c r="A129" s="44" t="s">
        <v>240</v>
      </c>
      <c r="B129" s="44" t="s">
        <v>240</v>
      </c>
      <c r="C129" s="44" t="s">
        <v>241</v>
      </c>
      <c r="D129" s="45">
        <v>90400</v>
      </c>
      <c r="E129" s="45">
        <v>1</v>
      </c>
    </row>
    <row r="130" spans="1:5" ht="19.899999999999999" customHeight="1">
      <c r="A130" s="44" t="s">
        <v>240</v>
      </c>
      <c r="B130" s="55" t="s">
        <v>240</v>
      </c>
      <c r="C130" s="55" t="s">
        <v>342</v>
      </c>
      <c r="D130" s="45"/>
      <c r="E130" s="45">
        <v>1</v>
      </c>
    </row>
    <row r="131" spans="1:5" ht="19.899999999999999" customHeight="1">
      <c r="A131" s="44" t="s">
        <v>242</v>
      </c>
      <c r="B131" s="55" t="s">
        <v>242</v>
      </c>
      <c r="C131" s="55" t="s">
        <v>341</v>
      </c>
      <c r="D131" s="45"/>
      <c r="E131" s="45">
        <v>1</v>
      </c>
    </row>
    <row r="132" spans="1:5" ht="19.899999999999999" customHeight="1">
      <c r="A132" s="44" t="s">
        <v>242</v>
      </c>
      <c r="B132" s="55" t="s">
        <v>242</v>
      </c>
      <c r="C132" s="55" t="s">
        <v>340</v>
      </c>
      <c r="D132" s="45"/>
      <c r="E132" s="45">
        <v>1</v>
      </c>
    </row>
    <row r="133" spans="1:5" ht="19.899999999999999" customHeight="1">
      <c r="A133" s="44" t="s">
        <v>243</v>
      </c>
      <c r="B133" s="44" t="s">
        <v>243</v>
      </c>
      <c r="C133" s="44" t="s">
        <v>244</v>
      </c>
      <c r="D133" s="45">
        <v>10000</v>
      </c>
      <c r="E133" s="45">
        <v>1</v>
      </c>
    </row>
    <row r="134" spans="1:5" ht="19.899999999999999" customHeight="1">
      <c r="A134" s="44" t="s">
        <v>243</v>
      </c>
      <c r="B134" s="44" t="s">
        <v>243</v>
      </c>
      <c r="C134" s="44" t="s">
        <v>245</v>
      </c>
      <c r="D134" s="45">
        <v>6000</v>
      </c>
      <c r="E134" s="45">
        <v>1</v>
      </c>
    </row>
    <row r="135" spans="1:5" ht="19.899999999999999" customHeight="1">
      <c r="A135" s="44" t="s">
        <v>243</v>
      </c>
      <c r="B135" s="44" t="s">
        <v>243</v>
      </c>
      <c r="C135" s="44" t="s">
        <v>246</v>
      </c>
      <c r="D135" s="45">
        <v>3000</v>
      </c>
      <c r="E135" s="45">
        <v>1</v>
      </c>
    </row>
    <row r="136" spans="1:5" ht="19.899999999999999" customHeight="1">
      <c r="A136" s="44" t="s">
        <v>243</v>
      </c>
      <c r="B136" s="44" t="s">
        <v>243</v>
      </c>
      <c r="C136" s="44" t="s">
        <v>247</v>
      </c>
      <c r="D136" s="45">
        <v>15000</v>
      </c>
      <c r="E136" s="45">
        <v>1</v>
      </c>
    </row>
    <row r="137" spans="1:5" ht="19.899999999999999" customHeight="1">
      <c r="A137" s="44" t="s">
        <v>243</v>
      </c>
      <c r="B137" s="44" t="s">
        <v>243</v>
      </c>
      <c r="C137" s="44" t="s">
        <v>248</v>
      </c>
      <c r="D137" s="45">
        <v>3000</v>
      </c>
      <c r="E137" s="45">
        <v>1</v>
      </c>
    </row>
    <row r="138" spans="1:5" ht="19.899999999999999" customHeight="1">
      <c r="A138" s="44" t="s">
        <v>243</v>
      </c>
      <c r="B138" s="44" t="s">
        <v>243</v>
      </c>
      <c r="C138" s="44" t="s">
        <v>249</v>
      </c>
      <c r="D138" s="45">
        <v>8000</v>
      </c>
      <c r="E138" s="45">
        <v>1</v>
      </c>
    </row>
    <row r="139" spans="1:5" ht="19.899999999999999" customHeight="1">
      <c r="A139" s="44" t="s">
        <v>243</v>
      </c>
      <c r="B139" s="44" t="s">
        <v>243</v>
      </c>
      <c r="C139" s="44" t="s">
        <v>250</v>
      </c>
      <c r="D139" s="45">
        <v>1400</v>
      </c>
      <c r="E139" s="45">
        <v>1</v>
      </c>
    </row>
    <row r="140" spans="1:5" ht="19.899999999999999" customHeight="1">
      <c r="A140" s="44" t="s">
        <v>243</v>
      </c>
      <c r="B140" s="55" t="s">
        <v>243</v>
      </c>
      <c r="C140" s="55" t="s">
        <v>348</v>
      </c>
      <c r="D140" s="45"/>
      <c r="E140" s="45">
        <v>1</v>
      </c>
    </row>
    <row r="141" spans="1:5" ht="19.899999999999999" customHeight="1">
      <c r="A141" s="44" t="s">
        <v>243</v>
      </c>
      <c r="B141" s="55" t="s">
        <v>243</v>
      </c>
      <c r="C141" s="46" t="s">
        <v>349</v>
      </c>
      <c r="D141" s="45"/>
      <c r="E141" s="45">
        <v>1</v>
      </c>
    </row>
    <row r="142" spans="1:5" ht="19.899999999999999" customHeight="1">
      <c r="A142" s="44" t="s">
        <v>243</v>
      </c>
      <c r="B142" s="44" t="s">
        <v>243</v>
      </c>
      <c r="C142" s="44" t="s">
        <v>251</v>
      </c>
      <c r="D142" s="45">
        <v>1000</v>
      </c>
      <c r="E142" s="45">
        <v>1</v>
      </c>
    </row>
    <row r="143" spans="1:5" ht="19.899999999999999" customHeight="1">
      <c r="A143" s="44" t="s">
        <v>243</v>
      </c>
      <c r="B143" s="44" t="s">
        <v>243</v>
      </c>
      <c r="C143" s="44" t="s">
        <v>252</v>
      </c>
      <c r="D143" s="45">
        <v>2500</v>
      </c>
      <c r="E143" s="45">
        <v>1</v>
      </c>
    </row>
    <row r="144" spans="1:5" ht="19.899999999999999" customHeight="1">
      <c r="A144" s="44" t="s">
        <v>243</v>
      </c>
      <c r="B144" s="44" t="s">
        <v>243</v>
      </c>
      <c r="C144" s="44" t="s">
        <v>253</v>
      </c>
      <c r="D144" s="45">
        <v>2000</v>
      </c>
      <c r="E144" s="45">
        <v>1</v>
      </c>
    </row>
    <row r="145" spans="1:5" ht="19.899999999999999" customHeight="1">
      <c r="A145" s="44" t="s">
        <v>243</v>
      </c>
      <c r="B145" s="44" t="s">
        <v>243</v>
      </c>
      <c r="C145" s="44" t="s">
        <v>254</v>
      </c>
      <c r="D145" s="45">
        <v>3000</v>
      </c>
      <c r="E145" s="45">
        <v>1</v>
      </c>
    </row>
    <row r="146" spans="1:5" ht="19.899999999999999" customHeight="1">
      <c r="A146" s="44" t="s">
        <v>243</v>
      </c>
      <c r="B146" s="44" t="s">
        <v>243</v>
      </c>
      <c r="C146" s="44" t="s">
        <v>255</v>
      </c>
      <c r="D146" s="45">
        <v>2000</v>
      </c>
      <c r="E146" s="45">
        <v>1</v>
      </c>
    </row>
    <row r="147" spans="1:5" ht="19.899999999999999" customHeight="1">
      <c r="A147" s="44" t="s">
        <v>243</v>
      </c>
      <c r="B147" s="44" t="s">
        <v>243</v>
      </c>
      <c r="C147" s="44" t="s">
        <v>256</v>
      </c>
      <c r="D147" s="45">
        <v>3000</v>
      </c>
      <c r="E147" s="45">
        <v>1</v>
      </c>
    </row>
    <row r="148" spans="1:5" ht="19.899999999999999" customHeight="1">
      <c r="A148" s="44" t="s">
        <v>243</v>
      </c>
      <c r="B148" s="55" t="s">
        <v>243</v>
      </c>
      <c r="C148" s="55" t="s">
        <v>361</v>
      </c>
      <c r="D148" s="45">
        <v>5000</v>
      </c>
      <c r="E148" s="45">
        <v>1</v>
      </c>
    </row>
    <row r="149" spans="1:5" ht="19.899999999999999" customHeight="1">
      <c r="A149" s="44" t="s">
        <v>243</v>
      </c>
      <c r="B149" s="44" t="s">
        <v>243</v>
      </c>
      <c r="C149" s="44" t="s">
        <v>257</v>
      </c>
      <c r="D149" s="45">
        <v>8000</v>
      </c>
      <c r="E149" s="45">
        <v>1</v>
      </c>
    </row>
    <row r="150" spans="1:5" ht="19.899999999999999" customHeight="1">
      <c r="A150" s="44" t="s">
        <v>243</v>
      </c>
      <c r="B150" s="44" t="s">
        <v>372</v>
      </c>
      <c r="C150" s="44" t="s">
        <v>371</v>
      </c>
      <c r="D150" s="45">
        <v>3000</v>
      </c>
      <c r="E150" s="45">
        <v>1</v>
      </c>
    </row>
    <row r="151" spans="1:5">
      <c r="A151" s="44"/>
      <c r="B151" s="44"/>
      <c r="C151" s="44"/>
      <c r="D151" s="45"/>
      <c r="E151" s="45"/>
    </row>
    <row r="152" spans="1:5">
      <c r="A152" s="44"/>
      <c r="B152" s="44"/>
      <c r="C152" s="44"/>
      <c r="D152" s="45"/>
      <c r="E152" s="45"/>
    </row>
    <row r="153" spans="1:5">
      <c r="A153" s="44"/>
      <c r="B153" s="44"/>
      <c r="C153" s="44"/>
      <c r="D153" s="45"/>
      <c r="E153" s="45"/>
    </row>
    <row r="154" spans="1:5">
      <c r="A154" s="44"/>
      <c r="B154" s="44"/>
      <c r="C154" s="44"/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L23"/>
  <sheetViews>
    <sheetView topLeftCell="A2" workbookViewId="0">
      <selection activeCell="P22" sqref="P22"/>
    </sheetView>
  </sheetViews>
  <sheetFormatPr defaultColWidth="12.54296875" defaultRowHeight="18" customHeight="1"/>
  <cols>
    <col min="1" max="1" width="24.54296875" customWidth="1"/>
    <col min="2" max="2" width="21.453125" customWidth="1"/>
    <col min="3" max="3" width="12.54296875" customWidth="1"/>
    <col min="4" max="8" width="7.54296875" customWidth="1"/>
    <col min="9" max="9" width="9.7265625" customWidth="1"/>
    <col min="10" max="10" width="11.1796875" customWidth="1"/>
    <col min="11" max="26" width="7.54296875" customWidth="1"/>
  </cols>
  <sheetData>
    <row r="1" spans="1:12" ht="18" customHeight="1">
      <c r="A1" s="3" t="s">
        <v>50</v>
      </c>
      <c r="B1" s="3" t="s">
        <v>51</v>
      </c>
      <c r="D1" s="4"/>
      <c r="I1" s="4"/>
      <c r="K1" s="4"/>
      <c r="L1" s="4"/>
    </row>
    <row r="2" spans="1:12" ht="18" customHeight="1">
      <c r="A2" s="5" t="s">
        <v>52</v>
      </c>
      <c r="B2" s="5">
        <v>1440</v>
      </c>
      <c r="I2" s="4"/>
      <c r="K2" s="4"/>
    </row>
    <row r="3" spans="1:12" ht="18" customHeight="1">
      <c r="A3" s="5" t="s">
        <v>53</v>
      </c>
      <c r="B3" s="5">
        <v>1485</v>
      </c>
      <c r="I3" s="4"/>
      <c r="L3" s="2"/>
    </row>
    <row r="4" spans="1:12" ht="18" customHeight="1">
      <c r="A4" s="5" t="s">
        <v>54</v>
      </c>
      <c r="B4" s="5">
        <v>1798</v>
      </c>
      <c r="I4" s="4"/>
    </row>
    <row r="5" spans="1:12" ht="18" customHeight="1">
      <c r="A5" s="5" t="s">
        <v>55</v>
      </c>
      <c r="B5" s="5">
        <v>3162</v>
      </c>
    </row>
    <row r="6" spans="1:12" ht="18" customHeight="1">
      <c r="A6" s="5" t="s">
        <v>56</v>
      </c>
      <c r="B6" s="5">
        <v>3341</v>
      </c>
      <c r="L6" s="2"/>
    </row>
    <row r="7" spans="1:12" ht="18" customHeight="1">
      <c r="A7" s="5" t="s">
        <v>57</v>
      </c>
      <c r="B7" s="5">
        <v>3930</v>
      </c>
    </row>
    <row r="8" spans="1:12" ht="18" customHeight="1">
      <c r="A8" s="5" t="s">
        <v>58</v>
      </c>
      <c r="B8" s="5">
        <v>4320</v>
      </c>
    </row>
    <row r="9" spans="1:12" ht="18" customHeight="1">
      <c r="A9" s="5" t="s">
        <v>59</v>
      </c>
      <c r="B9" s="5">
        <v>830</v>
      </c>
    </row>
    <row r="10" spans="1:12" ht="18" customHeight="1">
      <c r="A10" s="5" t="s">
        <v>60</v>
      </c>
      <c r="B10" s="52">
        <v>434.60924999999997</v>
      </c>
    </row>
    <row r="11" spans="1:12" ht="18" customHeight="1">
      <c r="A11" s="5" t="s">
        <v>61</v>
      </c>
      <c r="B11" s="5">
        <v>60</v>
      </c>
    </row>
    <row r="12" spans="1:12" ht="18" customHeight="1">
      <c r="A12" s="5" t="s">
        <v>62</v>
      </c>
      <c r="B12" s="5">
        <v>3730</v>
      </c>
    </row>
    <row r="13" spans="1:12" ht="18" customHeight="1">
      <c r="A13" s="5" t="s">
        <v>63</v>
      </c>
      <c r="B13" s="5">
        <v>256000</v>
      </c>
      <c r="J13">
        <v>269000</v>
      </c>
    </row>
    <row r="14" spans="1:12" ht="18" customHeight="1">
      <c r="A14" s="5" t="s">
        <v>64</v>
      </c>
      <c r="B14" s="5">
        <v>1.02</v>
      </c>
    </row>
    <row r="15" spans="1:12" ht="18" customHeight="1">
      <c r="A15" s="5" t="s">
        <v>65</v>
      </c>
      <c r="B15" s="5">
        <v>2.2000000000000002</v>
      </c>
      <c r="J15">
        <v>2.2999999999999998</v>
      </c>
    </row>
    <row r="16" spans="1:12" ht="18" customHeight="1">
      <c r="A16" s="5" t="s">
        <v>66</v>
      </c>
      <c r="B16" s="5">
        <v>325</v>
      </c>
    </row>
    <row r="17" spans="1:2" ht="18" customHeight="1">
      <c r="A17" s="5" t="s">
        <v>67</v>
      </c>
      <c r="B17" s="5">
        <v>300</v>
      </c>
    </row>
    <row r="18" spans="1:2" ht="18" customHeight="1">
      <c r="A18" s="5" t="s">
        <v>68</v>
      </c>
      <c r="B18" s="5">
        <v>275</v>
      </c>
    </row>
    <row r="19" spans="1:2" ht="18" customHeight="1">
      <c r="A19" s="5" t="s">
        <v>69</v>
      </c>
      <c r="B19" s="5">
        <v>8000</v>
      </c>
    </row>
    <row r="20" spans="1:2" ht="18" customHeight="1">
      <c r="A20" s="5" t="s">
        <v>70</v>
      </c>
      <c r="B20" s="5">
        <v>9000</v>
      </c>
    </row>
    <row r="21" spans="1:2" ht="18" customHeight="1">
      <c r="A21" s="5" t="s">
        <v>71</v>
      </c>
      <c r="B21" s="5">
        <v>10000</v>
      </c>
    </row>
    <row r="22" spans="1:2" ht="18" customHeight="1">
      <c r="A22" s="5" t="s">
        <v>72</v>
      </c>
      <c r="B22" s="5">
        <v>0.7</v>
      </c>
    </row>
    <row r="23" spans="1:2" ht="18" customHeight="1">
      <c r="A23" s="5" t="s">
        <v>73</v>
      </c>
      <c r="B23" s="5">
        <v>0.8</v>
      </c>
    </row>
  </sheetData>
  <phoneticPr fontId="6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13FF-2F9A-408C-95B1-7F50271F79A2}">
  <sheetPr codeName="Sheet7"/>
  <dimension ref="A1:C3"/>
  <sheetViews>
    <sheetView workbookViewId="0">
      <selection activeCell="G9" sqref="G9"/>
    </sheetView>
  </sheetViews>
  <sheetFormatPr defaultRowHeight="14.5"/>
  <cols>
    <col min="1" max="1" width="14.7265625" customWidth="1"/>
  </cols>
  <sheetData>
    <row r="1" spans="1:3" ht="17">
      <c r="A1" s="1" t="s">
        <v>129</v>
      </c>
      <c r="B1" s="14" t="s">
        <v>130</v>
      </c>
      <c r="C1" s="14" t="s">
        <v>131</v>
      </c>
    </row>
    <row r="2" spans="1:3" ht="17">
      <c r="A2" s="14" t="s">
        <v>127</v>
      </c>
      <c r="B2">
        <v>12000</v>
      </c>
      <c r="C2">
        <v>24331</v>
      </c>
    </row>
    <row r="3" spans="1:3" ht="17">
      <c r="A3" s="14" t="s">
        <v>128</v>
      </c>
      <c r="B3">
        <v>12000</v>
      </c>
      <c r="C3">
        <v>31159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146A5-1268-4451-93D2-7267B83C9BBF}">
  <dimension ref="A1:F867"/>
  <sheetViews>
    <sheetView workbookViewId="0">
      <selection activeCell="M31" sqref="M31"/>
    </sheetView>
  </sheetViews>
  <sheetFormatPr defaultColWidth="12.54296875" defaultRowHeight="15" customHeight="1"/>
  <cols>
    <col min="1" max="1" width="13.26953125" style="28" customWidth="1"/>
    <col min="2" max="2" width="14.36328125" style="28" customWidth="1"/>
    <col min="3" max="15" width="7.54296875" style="14" customWidth="1"/>
    <col min="16" max="16384" width="12.54296875" style="14"/>
  </cols>
  <sheetData>
    <row r="1" spans="1:6" ht="35.15" customHeight="1">
      <c r="A1" s="10" t="s">
        <v>301</v>
      </c>
      <c r="B1" s="10" t="s">
        <v>299</v>
      </c>
      <c r="C1" s="29"/>
      <c r="D1" s="29"/>
      <c r="E1" s="29"/>
      <c r="F1" s="29"/>
    </row>
    <row r="2" spans="1:6" ht="16.5" customHeight="1">
      <c r="A2" s="28" t="s">
        <v>300</v>
      </c>
      <c r="B2" s="28">
        <v>2146</v>
      </c>
    </row>
    <row r="3" spans="1:6" ht="16.5" customHeight="1"/>
    <row r="4" spans="1:6" ht="16.5" customHeight="1"/>
    <row r="5" spans="1:6" ht="16.5" customHeight="1"/>
    <row r="6" spans="1:6" ht="16.5" customHeight="1"/>
    <row r="7" spans="1:6" ht="16.5" customHeight="1"/>
    <row r="8" spans="1:6" ht="16.5" customHeight="1"/>
    <row r="9" spans="1:6" ht="16.5" customHeight="1"/>
    <row r="10" spans="1:6" ht="16.5" customHeight="1"/>
    <row r="11" spans="1:6" ht="16.5" customHeight="1"/>
    <row r="12" spans="1:6" ht="16.5" customHeight="1"/>
    <row r="13" spans="1:6" ht="16.5" customHeight="1"/>
    <row r="14" spans="1:6" ht="16.5" customHeight="1"/>
    <row r="15" spans="1:6" ht="16.5" customHeight="1"/>
    <row r="16" spans="1: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</sheetData>
  <phoneticPr fontId="6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64EB-94C1-44C1-870D-2861317428EE}">
  <sheetPr codeName="Sheet8"/>
  <dimension ref="A1:E65"/>
  <sheetViews>
    <sheetView topLeftCell="A44" workbookViewId="0">
      <selection activeCell="E17" sqref="E17"/>
    </sheetView>
  </sheetViews>
  <sheetFormatPr defaultRowHeight="14.5"/>
  <cols>
    <col min="1" max="1" width="13.54296875" customWidth="1"/>
    <col min="2" max="3" width="9.1796875" style="8"/>
    <col min="4" max="4" width="15.453125" style="8" customWidth="1"/>
    <col min="5" max="5" width="96.1796875" style="8" customWidth="1"/>
  </cols>
  <sheetData>
    <row r="1" spans="1:5" ht="17">
      <c r="A1" s="1" t="s">
        <v>258</v>
      </c>
    </row>
    <row r="2" spans="1:5" ht="17">
      <c r="A2" s="60" t="s">
        <v>259</v>
      </c>
      <c r="B2" s="60"/>
      <c r="C2" s="60"/>
      <c r="D2" s="60"/>
      <c r="E2" s="60"/>
    </row>
    <row r="3" spans="1:5">
      <c r="A3" s="60" t="s">
        <v>260</v>
      </c>
      <c r="B3" s="60"/>
      <c r="C3" s="60"/>
      <c r="D3" s="60"/>
      <c r="E3" s="60"/>
    </row>
    <row r="4" spans="1:5" ht="17">
      <c r="A4" s="57" t="s">
        <v>261</v>
      </c>
      <c r="B4" s="57"/>
      <c r="C4" s="57"/>
      <c r="D4" s="57"/>
      <c r="E4" s="57"/>
    </row>
    <row r="5" spans="1:5" ht="17">
      <c r="A5" s="11" t="s">
        <v>87</v>
      </c>
      <c r="B5" s="12"/>
      <c r="C5" s="12"/>
      <c r="D5" s="12"/>
      <c r="E5" s="12"/>
    </row>
    <row r="6" spans="1:5">
      <c r="A6" s="7" t="s">
        <v>74</v>
      </c>
      <c r="B6" s="9" t="s">
        <v>75</v>
      </c>
      <c r="C6" s="9" t="s">
        <v>76</v>
      </c>
      <c r="D6" s="9" t="s">
        <v>77</v>
      </c>
      <c r="E6" s="9" t="s">
        <v>78</v>
      </c>
    </row>
    <row r="7" spans="1:5" ht="17">
      <c r="A7" s="6" t="s">
        <v>0</v>
      </c>
      <c r="B7" s="9" t="s">
        <v>79</v>
      </c>
      <c r="C7" s="9" t="s">
        <v>80</v>
      </c>
      <c r="D7" s="9" t="s">
        <v>14</v>
      </c>
      <c r="E7" s="13" t="s">
        <v>126</v>
      </c>
    </row>
    <row r="8" spans="1:5">
      <c r="A8" s="6" t="s">
        <v>27</v>
      </c>
      <c r="B8" s="9" t="s">
        <v>79</v>
      </c>
      <c r="C8" s="9" t="s">
        <v>80</v>
      </c>
      <c r="D8" s="9" t="s">
        <v>15</v>
      </c>
      <c r="E8" s="9" t="s">
        <v>81</v>
      </c>
    </row>
    <row r="9" spans="1:5">
      <c r="A9" s="6" t="s">
        <v>2</v>
      </c>
      <c r="B9" s="9" t="s">
        <v>79</v>
      </c>
      <c r="C9" s="9" t="s">
        <v>80</v>
      </c>
      <c r="D9" s="9" t="s">
        <v>16</v>
      </c>
      <c r="E9" s="9" t="s">
        <v>82</v>
      </c>
    </row>
    <row r="10" spans="1:5">
      <c r="A10" s="6" t="s">
        <v>28</v>
      </c>
      <c r="B10" s="9" t="s">
        <v>79</v>
      </c>
      <c r="C10" s="9" t="s">
        <v>80</v>
      </c>
      <c r="D10" s="9" t="s">
        <v>31</v>
      </c>
      <c r="E10" s="9" t="s">
        <v>83</v>
      </c>
    </row>
    <row r="11" spans="1:5" ht="17">
      <c r="A11" s="6" t="s">
        <v>34</v>
      </c>
      <c r="B11" s="9" t="s">
        <v>84</v>
      </c>
      <c r="C11" s="9" t="s">
        <v>85</v>
      </c>
      <c r="D11" s="9">
        <v>1300</v>
      </c>
      <c r="E11" s="13" t="s">
        <v>265</v>
      </c>
    </row>
    <row r="12" spans="1:5" ht="17">
      <c r="A12" s="6" t="s">
        <v>29</v>
      </c>
      <c r="B12" s="9" t="s">
        <v>84</v>
      </c>
      <c r="C12" s="9" t="s">
        <v>85</v>
      </c>
      <c r="D12" s="9">
        <v>1500</v>
      </c>
      <c r="E12" s="13" t="s">
        <v>266</v>
      </c>
    </row>
    <row r="13" spans="1:5" ht="17">
      <c r="A13" s="6" t="s">
        <v>30</v>
      </c>
      <c r="B13" s="9" t="s">
        <v>84</v>
      </c>
      <c r="C13" s="9" t="s">
        <v>86</v>
      </c>
      <c r="D13" s="9">
        <v>51610</v>
      </c>
      <c r="E13" s="13" t="s">
        <v>264</v>
      </c>
    </row>
    <row r="15" spans="1:5" ht="16.5" customHeight="1">
      <c r="A15" s="61" t="s">
        <v>262</v>
      </c>
      <c r="B15" s="61"/>
      <c r="C15" s="61"/>
      <c r="D15" s="61"/>
      <c r="E15" s="61"/>
    </row>
    <row r="16" spans="1:5">
      <c r="A16" s="61" t="s">
        <v>267</v>
      </c>
      <c r="B16" s="61"/>
      <c r="C16" s="61"/>
      <c r="D16" s="61"/>
      <c r="E16" s="61"/>
    </row>
    <row r="17" spans="1:5">
      <c r="A17" s="15" t="s">
        <v>263</v>
      </c>
    </row>
    <row r="18" spans="1:5" ht="17">
      <c r="A18" s="11" t="s">
        <v>88</v>
      </c>
      <c r="B18" s="12"/>
      <c r="C18" s="12"/>
      <c r="D18" s="12"/>
      <c r="E18" s="12"/>
    </row>
    <row r="19" spans="1:5" ht="17">
      <c r="A19" s="10" t="s">
        <v>112</v>
      </c>
      <c r="B19" s="7" t="s">
        <v>75</v>
      </c>
      <c r="C19" s="7" t="s">
        <v>76</v>
      </c>
      <c r="D19" s="7" t="s">
        <v>89</v>
      </c>
      <c r="E19" s="10" t="s">
        <v>113</v>
      </c>
    </row>
    <row r="20" spans="1:5">
      <c r="A20" s="6" t="s">
        <v>0</v>
      </c>
      <c r="B20" s="6" t="s">
        <v>79</v>
      </c>
      <c r="C20" s="6" t="s">
        <v>80</v>
      </c>
      <c r="D20" s="6" t="s">
        <v>90</v>
      </c>
      <c r="E20" s="6" t="s">
        <v>91</v>
      </c>
    </row>
    <row r="21" spans="1:5" ht="43.5">
      <c r="A21" s="6" t="s">
        <v>1</v>
      </c>
      <c r="B21" s="6" t="s">
        <v>79</v>
      </c>
      <c r="C21" s="6" t="s">
        <v>80</v>
      </c>
      <c r="D21" s="6" t="s">
        <v>92</v>
      </c>
      <c r="E21" s="6" t="s">
        <v>93</v>
      </c>
    </row>
    <row r="22" spans="1:5">
      <c r="A22" s="6" t="s">
        <v>2</v>
      </c>
      <c r="B22" s="6" t="s">
        <v>79</v>
      </c>
      <c r="C22" s="6" t="s">
        <v>80</v>
      </c>
      <c r="D22" s="6" t="s">
        <v>94</v>
      </c>
      <c r="E22" s="6" t="s">
        <v>95</v>
      </c>
    </row>
    <row r="23" spans="1:5">
      <c r="A23" s="6" t="s">
        <v>3</v>
      </c>
      <c r="B23" s="6" t="s">
        <v>79</v>
      </c>
      <c r="C23" s="6" t="s">
        <v>80</v>
      </c>
      <c r="D23" s="6" t="s">
        <v>96</v>
      </c>
      <c r="E23" s="6" t="s">
        <v>97</v>
      </c>
    </row>
    <row r="24" spans="1:5" ht="17">
      <c r="A24" s="6" t="s">
        <v>4</v>
      </c>
      <c r="B24" s="6" t="s">
        <v>79</v>
      </c>
      <c r="C24" s="6" t="s">
        <v>80</v>
      </c>
      <c r="D24" s="6" t="s">
        <v>98</v>
      </c>
      <c r="E24" s="16" t="s">
        <v>268</v>
      </c>
    </row>
    <row r="25" spans="1:5">
      <c r="A25" s="6" t="s">
        <v>5</v>
      </c>
      <c r="B25" s="6" t="s">
        <v>84</v>
      </c>
      <c r="C25" s="6" t="s">
        <v>85</v>
      </c>
      <c r="D25" s="6">
        <v>1300</v>
      </c>
      <c r="E25" s="6" t="s">
        <v>99</v>
      </c>
    </row>
    <row r="26" spans="1:5">
      <c r="A26" s="6" t="s">
        <v>6</v>
      </c>
      <c r="B26" s="6" t="s">
        <v>84</v>
      </c>
      <c r="C26" s="6" t="s">
        <v>85</v>
      </c>
      <c r="D26" s="6">
        <v>1900</v>
      </c>
      <c r="E26" s="6" t="s">
        <v>100</v>
      </c>
    </row>
    <row r="27" spans="1:5" ht="17">
      <c r="A27" s="6" t="s">
        <v>7</v>
      </c>
      <c r="B27" s="6" t="s">
        <v>101</v>
      </c>
      <c r="C27" s="6" t="s">
        <v>85</v>
      </c>
      <c r="D27" s="6" t="s">
        <v>102</v>
      </c>
      <c r="E27" s="16" t="s">
        <v>269</v>
      </c>
    </row>
    <row r="28" spans="1:5">
      <c r="A28" s="6" t="s">
        <v>8</v>
      </c>
      <c r="B28" s="6" t="s">
        <v>101</v>
      </c>
      <c r="C28" s="6" t="s">
        <v>85</v>
      </c>
      <c r="D28" s="6" t="s">
        <v>104</v>
      </c>
      <c r="E28" s="6" t="s">
        <v>103</v>
      </c>
    </row>
    <row r="29" spans="1:5">
      <c r="A29" s="6" t="s">
        <v>9</v>
      </c>
      <c r="B29" s="6" t="s">
        <v>101</v>
      </c>
      <c r="C29" s="6" t="s">
        <v>85</v>
      </c>
      <c r="D29" s="6" t="s">
        <v>105</v>
      </c>
      <c r="E29" s="6" t="s">
        <v>103</v>
      </c>
    </row>
    <row r="30" spans="1:5">
      <c r="A30" s="6" t="s">
        <v>10</v>
      </c>
      <c r="B30" s="6" t="s">
        <v>101</v>
      </c>
      <c r="C30" s="6" t="s">
        <v>85</v>
      </c>
      <c r="D30" s="6" t="s">
        <v>106</v>
      </c>
      <c r="E30" s="6" t="s">
        <v>103</v>
      </c>
    </row>
    <row r="31" spans="1:5" ht="29">
      <c r="A31" s="6" t="s">
        <v>11</v>
      </c>
      <c r="B31" s="6" t="s">
        <v>101</v>
      </c>
      <c r="C31" s="6" t="s">
        <v>86</v>
      </c>
      <c r="D31" s="6" t="s">
        <v>107</v>
      </c>
      <c r="E31" s="6" t="s">
        <v>108</v>
      </c>
    </row>
    <row r="32" spans="1:5" ht="29">
      <c r="A32" s="6" t="s">
        <v>12</v>
      </c>
      <c r="B32" s="6" t="s">
        <v>101</v>
      </c>
      <c r="C32" s="6" t="s">
        <v>86</v>
      </c>
      <c r="D32" s="6" t="s">
        <v>109</v>
      </c>
      <c r="E32" s="6" t="s">
        <v>110</v>
      </c>
    </row>
    <row r="33" spans="1:5">
      <c r="A33" s="6" t="s">
        <v>13</v>
      </c>
      <c r="B33" s="6" t="s">
        <v>84</v>
      </c>
      <c r="C33" s="6" t="s">
        <v>86</v>
      </c>
      <c r="D33" s="6">
        <v>72276</v>
      </c>
      <c r="E33" s="6" t="s">
        <v>111</v>
      </c>
    </row>
    <row r="34" spans="1:5">
      <c r="A34" s="6"/>
      <c r="B34" s="6"/>
      <c r="C34" s="6"/>
      <c r="D34" s="6"/>
      <c r="E34" s="6"/>
    </row>
    <row r="35" spans="1:5">
      <c r="A35" s="56" t="s">
        <v>278</v>
      </c>
      <c r="B35" s="56"/>
      <c r="C35" s="56"/>
      <c r="D35" s="56"/>
      <c r="E35" s="56"/>
    </row>
    <row r="36" spans="1:5">
      <c r="A36" s="19" t="s">
        <v>270</v>
      </c>
      <c r="B36" s="18"/>
      <c r="C36" s="18"/>
      <c r="D36" s="18"/>
      <c r="E36" s="18"/>
    </row>
    <row r="37" spans="1:5">
      <c r="A37" s="20" t="s">
        <v>115</v>
      </c>
      <c r="B37" s="20" t="s">
        <v>75</v>
      </c>
      <c r="C37" s="21" t="s">
        <v>76</v>
      </c>
      <c r="D37" s="20" t="s">
        <v>77</v>
      </c>
      <c r="E37" s="20" t="s">
        <v>78</v>
      </c>
    </row>
    <row r="38" spans="1:5" ht="17">
      <c r="A38" s="23" t="s">
        <v>271</v>
      </c>
      <c r="B38" s="17" t="s">
        <v>79</v>
      </c>
      <c r="C38" s="22" t="s">
        <v>80</v>
      </c>
      <c r="D38" s="26" t="s">
        <v>127</v>
      </c>
      <c r="E38" s="16" t="s">
        <v>277</v>
      </c>
    </row>
    <row r="39" spans="1:5" ht="17">
      <c r="A39" s="24" t="s">
        <v>130</v>
      </c>
      <c r="B39" s="17" t="s">
        <v>272</v>
      </c>
      <c r="C39" s="22" t="s">
        <v>273</v>
      </c>
      <c r="D39" s="17">
        <v>12000</v>
      </c>
      <c r="E39" s="1" t="s">
        <v>275</v>
      </c>
    </row>
    <row r="40" spans="1:5">
      <c r="A40" s="1" t="s">
        <v>274</v>
      </c>
      <c r="B40" s="17" t="s">
        <v>84</v>
      </c>
      <c r="C40" s="22" t="s">
        <v>273</v>
      </c>
      <c r="D40" s="17">
        <v>1000</v>
      </c>
      <c r="E40" s="25" t="s">
        <v>276</v>
      </c>
    </row>
    <row r="42" spans="1:5" ht="17">
      <c r="A42" s="57" t="s">
        <v>279</v>
      </c>
      <c r="B42" s="58"/>
      <c r="C42" s="58"/>
      <c r="D42" s="58"/>
      <c r="E42" s="58"/>
    </row>
    <row r="43" spans="1:5" ht="17">
      <c r="A43" s="59" t="s">
        <v>280</v>
      </c>
      <c r="B43" s="59"/>
      <c r="C43" s="59"/>
      <c r="D43" s="59"/>
      <c r="E43" s="59"/>
    </row>
    <row r="44" spans="1:5" ht="17">
      <c r="A44" s="11" t="s">
        <v>114</v>
      </c>
      <c r="B44" s="12"/>
      <c r="C44" s="12"/>
      <c r="D44" s="12"/>
      <c r="E44" s="12"/>
    </row>
    <row r="45" spans="1:5">
      <c r="A45" s="7" t="s">
        <v>115</v>
      </c>
      <c r="B45" s="7" t="s">
        <v>75</v>
      </c>
      <c r="C45" s="7" t="s">
        <v>76</v>
      </c>
      <c r="D45" s="7" t="s">
        <v>77</v>
      </c>
      <c r="E45" s="7" t="s">
        <v>78</v>
      </c>
    </row>
    <row r="46" spans="1:5">
      <c r="A46" s="6" t="s">
        <v>32</v>
      </c>
      <c r="B46" s="6" t="s">
        <v>79</v>
      </c>
      <c r="C46" s="6" t="s">
        <v>80</v>
      </c>
      <c r="D46" s="6" t="s">
        <v>35</v>
      </c>
      <c r="E46" s="6" t="s">
        <v>116</v>
      </c>
    </row>
    <row r="47" spans="1:5">
      <c r="A47" s="6" t="s">
        <v>33</v>
      </c>
      <c r="B47" s="6" t="s">
        <v>79</v>
      </c>
      <c r="C47" s="6" t="s">
        <v>80</v>
      </c>
      <c r="D47" s="6" t="s">
        <v>36</v>
      </c>
      <c r="E47" s="6" t="s">
        <v>117</v>
      </c>
    </row>
    <row r="48" spans="1:5">
      <c r="A48" s="6" t="s">
        <v>34</v>
      </c>
      <c r="B48" s="6" t="s">
        <v>84</v>
      </c>
      <c r="C48" s="6" t="s">
        <v>85</v>
      </c>
      <c r="D48" s="6">
        <v>2000</v>
      </c>
      <c r="E48" s="6" t="s">
        <v>118</v>
      </c>
    </row>
    <row r="49" spans="1:5">
      <c r="A49" s="6" t="s">
        <v>29</v>
      </c>
      <c r="B49" s="6" t="s">
        <v>84</v>
      </c>
      <c r="C49" s="6" t="s">
        <v>85</v>
      </c>
      <c r="D49" s="6">
        <v>1300</v>
      </c>
      <c r="E49" s="6" t="s">
        <v>119</v>
      </c>
    </row>
    <row r="50" spans="1:5">
      <c r="A50" s="6" t="s">
        <v>13</v>
      </c>
      <c r="B50" s="6" t="s">
        <v>84</v>
      </c>
      <c r="C50" s="6" t="s">
        <v>86</v>
      </c>
      <c r="D50" s="6">
        <v>24877</v>
      </c>
      <c r="E50" s="6" t="s">
        <v>120</v>
      </c>
    </row>
    <row r="51" spans="1:5">
      <c r="A51" s="6"/>
      <c r="B51" s="6"/>
      <c r="C51" s="6"/>
      <c r="D51" s="6"/>
      <c r="E51" s="6"/>
    </row>
    <row r="52" spans="1:5" ht="17">
      <c r="A52" s="27" t="s">
        <v>286</v>
      </c>
      <c r="B52" s="19"/>
      <c r="C52" s="19"/>
      <c r="D52" s="19"/>
      <c r="E52" s="19"/>
    </row>
    <row r="53" spans="1:5" ht="17">
      <c r="A53" s="62" t="s">
        <v>287</v>
      </c>
      <c r="B53" s="62"/>
      <c r="C53" s="62"/>
      <c r="D53" s="62"/>
      <c r="E53" s="62"/>
    </row>
    <row r="54" spans="1:5" ht="17">
      <c r="A54" s="62" t="s">
        <v>288</v>
      </c>
      <c r="B54" s="62"/>
      <c r="C54" s="62"/>
      <c r="D54" s="62"/>
      <c r="E54" s="62"/>
    </row>
    <row r="56" spans="1:5">
      <c r="A56" s="56" t="s">
        <v>281</v>
      </c>
      <c r="B56" s="56"/>
      <c r="C56" s="56"/>
      <c r="D56" s="56"/>
      <c r="E56" s="56"/>
    </row>
    <row r="57" spans="1:5" ht="17">
      <c r="A57" s="11" t="s">
        <v>125</v>
      </c>
      <c r="B57" s="12"/>
      <c r="C57" s="12"/>
      <c r="D57" s="12"/>
      <c r="E57" s="12"/>
    </row>
    <row r="58" spans="1:5">
      <c r="A58" s="7" t="s">
        <v>115</v>
      </c>
      <c r="B58" s="7" t="s">
        <v>75</v>
      </c>
      <c r="C58" s="7" t="s">
        <v>76</v>
      </c>
      <c r="D58" s="7" t="s">
        <v>77</v>
      </c>
      <c r="E58" s="7" t="s">
        <v>78</v>
      </c>
    </row>
    <row r="59" spans="1:5">
      <c r="A59" s="6" t="s">
        <v>50</v>
      </c>
      <c r="B59" s="6" t="s">
        <v>79</v>
      </c>
      <c r="C59" s="6" t="s">
        <v>80</v>
      </c>
      <c r="D59" s="6" t="s">
        <v>52</v>
      </c>
      <c r="E59" s="6" t="s">
        <v>121</v>
      </c>
    </row>
    <row r="60" spans="1:5" ht="29">
      <c r="A60" s="6" t="s">
        <v>51</v>
      </c>
      <c r="B60" s="6" t="s">
        <v>122</v>
      </c>
      <c r="C60" s="6" t="s">
        <v>123</v>
      </c>
      <c r="D60" s="6">
        <v>1440</v>
      </c>
      <c r="E60" s="6" t="s">
        <v>124</v>
      </c>
    </row>
    <row r="62" spans="1:5" ht="17">
      <c r="A62" s="11" t="s">
        <v>282</v>
      </c>
      <c r="B62" s="12"/>
      <c r="C62" s="12"/>
      <c r="D62" s="12"/>
      <c r="E62" s="12"/>
    </row>
    <row r="63" spans="1:5" ht="17">
      <c r="A63" s="57" t="s">
        <v>283</v>
      </c>
      <c r="B63" s="58"/>
      <c r="C63" s="58"/>
      <c r="D63" s="58"/>
      <c r="E63" s="58"/>
    </row>
    <row r="64" spans="1:5" ht="17">
      <c r="A64" s="57" t="s">
        <v>284</v>
      </c>
      <c r="B64" s="58"/>
      <c r="C64" s="58"/>
      <c r="D64" s="58"/>
      <c r="E64" s="58"/>
    </row>
    <row r="65" spans="1:5" ht="17">
      <c r="A65" s="57" t="s">
        <v>285</v>
      </c>
      <c r="B65" s="58"/>
      <c r="C65" s="58"/>
      <c r="D65" s="58"/>
      <c r="E65" s="58"/>
    </row>
  </sheetData>
  <mergeCells count="14">
    <mergeCell ref="A63:E63"/>
    <mergeCell ref="A64:E64"/>
    <mergeCell ref="A65:E65"/>
    <mergeCell ref="A53:E53"/>
    <mergeCell ref="A54:E54"/>
    <mergeCell ref="A35:E35"/>
    <mergeCell ref="A42:E42"/>
    <mergeCell ref="A43:E43"/>
    <mergeCell ref="A56:E56"/>
    <mergeCell ref="A2:E2"/>
    <mergeCell ref="A3:E3"/>
    <mergeCell ref="A4:E4"/>
    <mergeCell ref="A16:E16"/>
    <mergeCell ref="A15:E15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바닥판</vt:lpstr>
      <vt:lpstr>바닥판단가</vt:lpstr>
      <vt:lpstr>천장판</vt:lpstr>
      <vt:lpstr>천장판타공</vt:lpstr>
      <vt:lpstr>자재단가내역</vt:lpstr>
      <vt:lpstr>벽판</vt:lpstr>
      <vt:lpstr>PVE</vt:lpstr>
      <vt:lpstr>접착제</vt:lpstr>
      <vt:lpstr>데이터 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유진 성</cp:lastModifiedBy>
  <dcterms:created xsi:type="dcterms:W3CDTF">2025-12-22T04:09:13Z</dcterms:created>
  <dcterms:modified xsi:type="dcterms:W3CDTF">2026-01-15T01:41:17Z</dcterms:modified>
</cp:coreProperties>
</file>